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ofienystrom/Badminton-Timetable-Solver/"/>
    </mc:Choice>
  </mc:AlternateContent>
  <xr:revisionPtr revIDLastSave="0" documentId="13_ncr:1_{71EF40EA-7EE4-284E-8794-4FA4161E7C2D}" xr6:coauthVersionLast="47" xr6:coauthVersionMax="47" xr10:uidLastSave="{00000000-0000-0000-0000-000000000000}"/>
  <bookViews>
    <workbookView xWindow="0" yWindow="680" windowWidth="29400" windowHeight="16680" activeTab="6" xr2:uid="{00000000-000D-0000-FFFF-FFFF00000000}"/>
  </bookViews>
  <sheets>
    <sheet name="Entries HBC Premier Elite 2024" sheetId="1" r:id="rId1"/>
    <sheet name="Sheet1" sheetId="2" r:id="rId2"/>
    <sheet name="Player Events" sheetId="3" r:id="rId3"/>
    <sheet name="Rule Violations" sheetId="4" r:id="rId4"/>
    <sheet name="Event Analysis" sheetId="5" r:id="rId5"/>
    <sheet name="Sheet2" sheetId="6" r:id="rId6"/>
    <sheet name="timetab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7" l="1"/>
  <c r="N48" i="7"/>
  <c r="O45" i="7"/>
  <c r="N46" i="7"/>
  <c r="H45" i="7"/>
  <c r="C51" i="7"/>
  <c r="F48" i="7"/>
  <c r="C48" i="7"/>
  <c r="W32" i="7"/>
  <c r="U32" i="7"/>
  <c r="S32" i="7"/>
  <c r="Q32" i="7"/>
  <c r="O32" i="7"/>
  <c r="M32" i="7"/>
  <c r="K32" i="7"/>
  <c r="I32" i="7"/>
  <c r="G32" i="7"/>
  <c r="E32" i="7"/>
  <c r="C32" i="7"/>
  <c r="AI16" i="7"/>
  <c r="AG16" i="7"/>
  <c r="AE16" i="7"/>
  <c r="AC16" i="7"/>
  <c r="AA16" i="7"/>
  <c r="Y16" i="7"/>
  <c r="W16" i="7"/>
  <c r="U16" i="7"/>
  <c r="S16" i="7"/>
  <c r="Q16" i="7"/>
  <c r="O16" i="7"/>
  <c r="M16" i="7"/>
  <c r="K16" i="7"/>
  <c r="I16" i="7"/>
  <c r="G16" i="7"/>
  <c r="E16" i="7"/>
  <c r="C16" i="7"/>
</calcChain>
</file>

<file path=xl/sharedStrings.xml><?xml version="1.0" encoding="utf-8"?>
<sst xmlns="http://schemas.openxmlformats.org/spreadsheetml/2006/main" count="3312" uniqueCount="1054">
  <si>
    <t>Entries of MS V - Main Draw</t>
  </si>
  <si>
    <t>Name</t>
  </si>
  <si>
    <t>Entry Info</t>
  </si>
  <si>
    <t>Akseli Aalto</t>
  </si>
  <si>
    <t>MS V</t>
  </si>
  <si>
    <t>MD V Alvar Melleri (6153)</t>
  </si>
  <si>
    <t>Ananda Galvani Daniswara</t>
  </si>
  <si>
    <t>MD V Tony Lindelöf (5746)</t>
  </si>
  <si>
    <t>Paulus Huhtamäki</t>
  </si>
  <si>
    <t>MD V Iiro Romppainen (6416)</t>
  </si>
  <si>
    <t>XD V Jenni Lahti (8164)</t>
  </si>
  <si>
    <t>Jussi Isoperkkiö</t>
  </si>
  <si>
    <t>Iiro Koivula</t>
  </si>
  <si>
    <t>MD V Jussi Soraluoma (6471)</t>
  </si>
  <si>
    <t>Nicholas Kroath</t>
  </si>
  <si>
    <t>XD A Jessica Enholm (164)</t>
  </si>
  <si>
    <t>MD V Julius Pfaler von (2822)</t>
  </si>
  <si>
    <t>Arto Lahtinen</t>
  </si>
  <si>
    <t>MD V Jesper Paul (3641)</t>
  </si>
  <si>
    <t>Eero Lauri</t>
  </si>
  <si>
    <t>MD V Teemu Lahtinen (4135)</t>
  </si>
  <si>
    <t>Kaiwen Li</t>
  </si>
  <si>
    <t>Heming Lin</t>
  </si>
  <si>
    <t>MD V Jan Pasanen (3220)</t>
  </si>
  <si>
    <t>Tony Lindelöf</t>
  </si>
  <si>
    <t>MD V Ananda Galvani Daniswara (6915)</t>
  </si>
  <si>
    <t>Elmeri Lybeck</t>
  </si>
  <si>
    <t>MD V Vili Tanttu (6877)</t>
  </si>
  <si>
    <t>XD V Emma Lybeck (7408)</t>
  </si>
  <si>
    <t>Entries of WS V - Main Draw</t>
  </si>
  <si>
    <t>Sai Abhijna Brahmakal</t>
  </si>
  <si>
    <t>WS V</t>
  </si>
  <si>
    <t>WD V Aino Övermark (5854)</t>
  </si>
  <si>
    <t>An Cong</t>
  </si>
  <si>
    <t>XD A Antti Sohlman (7077)</t>
  </si>
  <si>
    <t>WD V Alicia Gras (8935)</t>
  </si>
  <si>
    <t>Alicia Gras</t>
  </si>
  <si>
    <t>WD V An Cong (4775)</t>
  </si>
  <si>
    <t>XD A Phuc Le Vinh (8520)</t>
  </si>
  <si>
    <t>Yelyzaveta Gusarenko</t>
  </si>
  <si>
    <t>WD V Ellen Virta (6788)</t>
  </si>
  <si>
    <t>Selma Kääriäinen</t>
  </si>
  <si>
    <t>XD A Lauri Nyholm (4220)</t>
  </si>
  <si>
    <t>WD V Laura Jalli (6676)</t>
  </si>
  <si>
    <t>Ananya Kandala</t>
  </si>
  <si>
    <t>WD A Alina Hult (8122)</t>
  </si>
  <si>
    <t>Nelly Määttä</t>
  </si>
  <si>
    <t>XD V Vili Tanttu (6877)</t>
  </si>
  <si>
    <t>WD V Jenni Lahti (8164)</t>
  </si>
  <si>
    <t>Noora Nokkala</t>
  </si>
  <si>
    <t>XD V Paphon Kasemvudhi (9120)</t>
  </si>
  <si>
    <t>WD V Iina Suutarinen (4549)</t>
  </si>
  <si>
    <t>Aino Övermark</t>
  </si>
  <si>
    <t>WD V Sai Abhijna Brahmakal (8125)</t>
  </si>
  <si>
    <t>XD V Jere Övermark (4022)</t>
  </si>
  <si>
    <t>Petra Saarnivaara</t>
  </si>
  <si>
    <t>Silja Soikkeli</t>
  </si>
  <si>
    <t>XD A Tomi Karttunen (4376)</t>
  </si>
  <si>
    <t>Entries of MD V - Main Draw</t>
  </si>
  <si>
    <t>Alvar Melleri</t>
  </si>
  <si>
    <t>XD V Ellen Virta (6788)</t>
  </si>
  <si>
    <t>MD V Akseli Aalto (6874)</t>
  </si>
  <si>
    <t>Alan Muhammad Afwanil Hakim</t>
  </si>
  <si>
    <t>MD V Anton Kaisti (2758)</t>
  </si>
  <si>
    <t>Anton Kaisti</t>
  </si>
  <si>
    <t>XD V Iina Suutarinen (4549)</t>
  </si>
  <si>
    <t xml:space="preserve">MD V Alan Muhammad Afwanil Hakim </t>
  </si>
  <si>
    <t>(9616)</t>
  </si>
  <si>
    <t>Iikka Heino</t>
  </si>
  <si>
    <t>MD V Robin Jäntti (4787)</t>
  </si>
  <si>
    <t>Robin Jäntti</t>
  </si>
  <si>
    <t>XD V Sarah Asfar (6083)</t>
  </si>
  <si>
    <t>MD V Iikka Heino (2159)</t>
  </si>
  <si>
    <t>Iiro Romppainen</t>
  </si>
  <si>
    <t>MD V Paulus Huhtamäki (5703)</t>
  </si>
  <si>
    <t>MS A</t>
  </si>
  <si>
    <t>XD A Emilia Mattila (9477)</t>
  </si>
  <si>
    <t>Paphon Kasemvudhi</t>
  </si>
  <si>
    <t>MD V Mikko Vikman (1584)</t>
  </si>
  <si>
    <t>XD V Noora Nokkala (5215)</t>
  </si>
  <si>
    <t>Mikko Vikman</t>
  </si>
  <si>
    <t>MD V Paphon Kasemvudhi (9120)</t>
  </si>
  <si>
    <t>Jussi Soraluoma</t>
  </si>
  <si>
    <t>XD A Paula Kase (8566)</t>
  </si>
  <si>
    <t>MD V Iiro Koivula (6183)</t>
  </si>
  <si>
    <t>Mika Koskenneva</t>
  </si>
  <si>
    <t>MD V Eemi Seppälä (1607)</t>
  </si>
  <si>
    <t>XD V Linnea Vainula (3346)</t>
  </si>
  <si>
    <t>Eemi Seppälä</t>
  </si>
  <si>
    <t>MD V Mika Koskenneva (2312)</t>
  </si>
  <si>
    <t>XD V Viivi Brandt (796)</t>
  </si>
  <si>
    <t>Julius Pfaler Von</t>
  </si>
  <si>
    <t>XD V Jenny Nyström (2411)</t>
  </si>
  <si>
    <t>MD V Nicholas Kroath (7340)</t>
  </si>
  <si>
    <t>Markus Kyheröinen</t>
  </si>
  <si>
    <t>MD V Roope Rissanen (4976)</t>
  </si>
  <si>
    <t>XD A Lumi Tran (8980)</t>
  </si>
  <si>
    <t>Roope Rissanen</t>
  </si>
  <si>
    <t>MD V Markus Kyheröinen (2314)</t>
  </si>
  <si>
    <t>Entries of MD V - Exclude</t>
  </si>
  <si>
    <t>Eliel Melleri</t>
  </si>
  <si>
    <t>MD V Niilo Nyqvist (5841)</t>
  </si>
  <si>
    <t>Entries of WD V - Main Draw</t>
  </si>
  <si>
    <t>Sarah Asfar</t>
  </si>
  <si>
    <t>WD V Oona Tapola (6089)</t>
  </si>
  <si>
    <t>XD V Robin Jäntti (4787)</t>
  </si>
  <si>
    <t>Oona Tapola</t>
  </si>
  <si>
    <t>WD V Sarah Asfar (6083)</t>
  </si>
  <si>
    <t>XD V Jesper Paul (3641)</t>
  </si>
  <si>
    <t>Krista Forss</t>
  </si>
  <si>
    <t>XD V Lauri Forss (5214)</t>
  </si>
  <si>
    <t>WD V Laura Ijas (5377)</t>
  </si>
  <si>
    <t>Laura Ijas</t>
  </si>
  <si>
    <t>WD V Krista Forss (8719)</t>
  </si>
  <si>
    <t>XD V Mikko Antell (3242)</t>
  </si>
  <si>
    <t>Ellen Virta</t>
  </si>
  <si>
    <t>XD V Alvar Melleri (6153)</t>
  </si>
  <si>
    <t>WD V Yelyzaveta Gusarenko (9229)</t>
  </si>
  <si>
    <t>Tuuli Härkönen</t>
  </si>
  <si>
    <t>WD V Jenny Nyström (2411)</t>
  </si>
  <si>
    <t>Jenny Nyström</t>
  </si>
  <si>
    <t>WD V Tuuli Härkönen (3098)</t>
  </si>
  <si>
    <t>XD V Julius Pfaler von (2822)</t>
  </si>
  <si>
    <t>Laura Jalli</t>
  </si>
  <si>
    <t>WD V Selma Kääriäinen (8512)</t>
  </si>
  <si>
    <t>XD V Jani Laitinen (2839)</t>
  </si>
  <si>
    <t>Jenni Lahti</t>
  </si>
  <si>
    <t>WS A</t>
  </si>
  <si>
    <t>WD V Nelly Määttä (8952)</t>
  </si>
  <si>
    <t>XD V Paulus Huhtamäki (5703)</t>
  </si>
  <si>
    <t>Entries of WD V - Reserve</t>
  </si>
  <si>
    <t>Essi Rantanen</t>
  </si>
  <si>
    <t>WD V  ()</t>
  </si>
  <si>
    <t>XD V Sami Pajunen (2960)</t>
  </si>
  <si>
    <t>&lt;Partner Wanted&gt;</t>
  </si>
  <si>
    <t>Entries of XD V - Main Draw</t>
  </si>
  <si>
    <t>Tyko Aakko</t>
  </si>
  <si>
    <t>XD V Helena Santalahti (5843)</t>
  </si>
  <si>
    <t>MD A Alex Gras (8901)</t>
  </si>
  <si>
    <t>Helena Santalahti</t>
  </si>
  <si>
    <t>XD V Tyko Aakko (6637)</t>
  </si>
  <si>
    <t>WD V Henna-Leena Lindberg (4321)</t>
  </si>
  <si>
    <t>Mikko Antell</t>
  </si>
  <si>
    <t>XD V Laura Ijas (5377)</t>
  </si>
  <si>
    <t>MD A Konsta Lindqvist (2928)</t>
  </si>
  <si>
    <t>Lauri Forss</t>
  </si>
  <si>
    <t>XD V Krista Forss (8719)</t>
  </si>
  <si>
    <t>MD A Aleksi Toivio (5866)</t>
  </si>
  <si>
    <t>Iina Suutarinen</t>
  </si>
  <si>
    <t>WD V Noora Nokkala (5215)</t>
  </si>
  <si>
    <t>XD V Anton Kaisti (2758)</t>
  </si>
  <si>
    <t>Linnea Vainula</t>
  </si>
  <si>
    <t>XD V Mika Koskenneva (2312)</t>
  </si>
  <si>
    <t>WD V Viivi Brandt (796)</t>
  </si>
  <si>
    <t>Jani Laitinen</t>
  </si>
  <si>
    <t>XD V Laura Jalli (6676)</t>
  </si>
  <si>
    <t>MD A Tommi Kaikkonen (6143)</t>
  </si>
  <si>
    <t>Emma Lybeck</t>
  </si>
  <si>
    <t>WD A Unni Parikka (8231)</t>
  </si>
  <si>
    <t>XD V Elmeri Lybeck (6852)</t>
  </si>
  <si>
    <t>Jere Övermark</t>
  </si>
  <si>
    <t>XD V Aino Övermark (5854)</t>
  </si>
  <si>
    <t>MD V Miika Lahtinen (3643)</t>
  </si>
  <si>
    <t>Sami Pajunen</t>
  </si>
  <si>
    <t>XD V Essi Rantanen (6337)</t>
  </si>
  <si>
    <t>Entries of MS A - Main Draw</t>
  </si>
  <si>
    <t>Hannu Aro</t>
  </si>
  <si>
    <t>MD B Jesse Kiljunen (8962)</t>
  </si>
  <si>
    <t>Axel Gras</t>
  </si>
  <si>
    <t>MD A Sam Lindberg (8500)</t>
  </si>
  <si>
    <t>Elmeri Hartelin</t>
  </si>
  <si>
    <t>MD A Jaakko Mänty (5700)</t>
  </si>
  <si>
    <t>Janne Haurinen</t>
  </si>
  <si>
    <t>XD A  ()</t>
  </si>
  <si>
    <t>MD A Marko Koivusaari (4365)</t>
  </si>
  <si>
    <t>Nikolaos Irpola</t>
  </si>
  <si>
    <t>MD A Isak Melleri (6634)</t>
  </si>
  <si>
    <t>Alarik Jägerhorn</t>
  </si>
  <si>
    <t>Lari Jukarainen</t>
  </si>
  <si>
    <t>MS B</t>
  </si>
  <si>
    <t>Tommi Kaikkonen</t>
  </si>
  <si>
    <t>MD A Jani Laitinen (2839)</t>
  </si>
  <si>
    <t>Eero Kallioranta</t>
  </si>
  <si>
    <t>MD B Filip Kroath (8683)</t>
  </si>
  <si>
    <t>Tomi Kankaanpää</t>
  </si>
  <si>
    <t>Onni Kari</t>
  </si>
  <si>
    <t>MD B Aakash Gamage (10007)</t>
  </si>
  <si>
    <t>XD B Venla Tran Minh (8951)</t>
  </si>
  <si>
    <t>Jukka-Pekka Keinänen</t>
  </si>
  <si>
    <t>MD B Antton Oksanen (4927)</t>
  </si>
  <si>
    <t>Anton Ketola</t>
  </si>
  <si>
    <t>XD A Thelma Koskinen ()</t>
  </si>
  <si>
    <t>Mikko Ketola</t>
  </si>
  <si>
    <t>Eero Kiiski</t>
  </si>
  <si>
    <t>Jesse Kiljunen</t>
  </si>
  <si>
    <t>MD B Hannu Aro (3894)</t>
  </si>
  <si>
    <t>Jaakko Kohtala</t>
  </si>
  <si>
    <t>Marko Koivusaari</t>
  </si>
  <si>
    <t>MD A Janne Haurinen (2466)</t>
  </si>
  <si>
    <t>Johannes Lehtinen</t>
  </si>
  <si>
    <t>MD A Aapo Mongkol (8531)</t>
  </si>
  <si>
    <t>MD B Topias Puhka (8674)</t>
  </si>
  <si>
    <t>Liam Lian</t>
  </si>
  <si>
    <t>Sam Lindberg</t>
  </si>
  <si>
    <t>MD A Axel Gras (8902)</t>
  </si>
  <si>
    <t>Konsta Lindqvist</t>
  </si>
  <si>
    <t>XD A Sanni Lepistö () [Withdrawn]</t>
  </si>
  <si>
    <t>MD A Mikko Antell (3242)</t>
  </si>
  <si>
    <t>Mingli Ma</t>
  </si>
  <si>
    <t>Mikko Malmberg</t>
  </si>
  <si>
    <t>MD A Matias Siirilä (5209)</t>
  </si>
  <si>
    <t>XD A Emelie Nyström (5493)</t>
  </si>
  <si>
    <t>Jaakko Mänty</t>
  </si>
  <si>
    <t>MD A Elmeri Hartelin (8767)</t>
  </si>
  <si>
    <t>Isak Melleri</t>
  </si>
  <si>
    <t>XD A Unni Parikka (8231)</t>
  </si>
  <si>
    <t>MD A Nikolaos Irpola (6448)</t>
  </si>
  <si>
    <t>Aapo Mongkol</t>
  </si>
  <si>
    <t>MD A  ()</t>
  </si>
  <si>
    <t>Binh Nguyenvan</t>
  </si>
  <si>
    <t>Kim Palko</t>
  </si>
  <si>
    <t>XD B Meea Sorvali (9669)</t>
  </si>
  <si>
    <t>Entries of WS A - Main Draw</t>
  </si>
  <si>
    <t>Kaisa Aarnio</t>
  </si>
  <si>
    <t>Julia Ala-Pantti</t>
  </si>
  <si>
    <t>WD B  ()</t>
  </si>
  <si>
    <t>XD B Qilun Li (6354)</t>
  </si>
  <si>
    <t>Emilia Bröckl</t>
  </si>
  <si>
    <t>WD A Julia Vedenoja (5672)</t>
  </si>
  <si>
    <t>Helmi Heinänen</t>
  </si>
  <si>
    <t>XD A Arttu Vainio (8220)</t>
  </si>
  <si>
    <t>WD A Elise Santanen (8829)</t>
  </si>
  <si>
    <t>Tiuku Helin</t>
  </si>
  <si>
    <t>WD A Sari Roivainen (151)</t>
  </si>
  <si>
    <t>Paula Kase</t>
  </si>
  <si>
    <t>XD A Jussi Soraluoma (6471)</t>
  </si>
  <si>
    <t>Entries of MD A - Main Draw</t>
  </si>
  <si>
    <t>Alex Gras</t>
  </si>
  <si>
    <t>MD A Tyko Aakko (6637)</t>
  </si>
  <si>
    <t>Jyri Aalto</t>
  </si>
  <si>
    <t>MD A Topi Simola (247)</t>
  </si>
  <si>
    <t>Topi Simola</t>
  </si>
  <si>
    <t>MD A Jyri Aalto (1)</t>
  </si>
  <si>
    <t>Jonas Bäcklund</t>
  </si>
  <si>
    <t>MD A Patrick Vena (6116)</t>
  </si>
  <si>
    <t>Patrick Vena</t>
  </si>
  <si>
    <t>MD A Jonas Bäcklund (8429)</t>
  </si>
  <si>
    <t>MD B Ari Suortti (8556)</t>
  </si>
  <si>
    <t>Mehdi Farsimadan</t>
  </si>
  <si>
    <t>MD A Jan Salmela (6088)</t>
  </si>
  <si>
    <t>Jan Salmela</t>
  </si>
  <si>
    <t>MD A Mehdi Farsimadan (8755)</t>
  </si>
  <si>
    <t>Entries of WD A - Main Draw</t>
  </si>
  <si>
    <t>Theresa Andersson</t>
  </si>
  <si>
    <t>WD A Anitta Luostarinen (6864)</t>
  </si>
  <si>
    <t>Anitta Luostarinen</t>
  </si>
  <si>
    <t>WD A Theresa Andersson (5855)</t>
  </si>
  <si>
    <t>Viivi Brandt</t>
  </si>
  <si>
    <t>XD V Eemi Seppälä (1607)</t>
  </si>
  <si>
    <t>WD V Linnea Vainula (3346)</t>
  </si>
  <si>
    <t>Julia Vedenoja</t>
  </si>
  <si>
    <t>WD A Emilia Bröckl (4393)</t>
  </si>
  <si>
    <t>Jessica Enholm</t>
  </si>
  <si>
    <t>XD A Nicholas Kroath (7340)</t>
  </si>
  <si>
    <t>WD A Charlotta Nyström (159)</t>
  </si>
  <si>
    <t>Charlotta Nyström</t>
  </si>
  <si>
    <t>WD A Jessica Enholm (164)</t>
  </si>
  <si>
    <t>XD B  ()</t>
  </si>
  <si>
    <t>Elina Heikkilä</t>
  </si>
  <si>
    <t>WD A Lumi Tran (8980)</t>
  </si>
  <si>
    <t>XD B Matias Siirilä (5209)</t>
  </si>
  <si>
    <t>WD B Essi Alanko (9251)</t>
  </si>
  <si>
    <t>Lumi Tran</t>
  </si>
  <si>
    <t>XD A Markus Kyheröinen (2314)</t>
  </si>
  <si>
    <t>WD A Elina Heikkilä (4920)</t>
  </si>
  <si>
    <t>Elise Santanen</t>
  </si>
  <si>
    <t>WD A Helmi Heinänen (8830)</t>
  </si>
  <si>
    <t>Sari Roivainen</t>
  </si>
  <si>
    <t>XD A Juuso Atrila (70)</t>
  </si>
  <si>
    <t>WD A Tiuku Helin (43)</t>
  </si>
  <si>
    <t>Entries of WD A - Exclude</t>
  </si>
  <si>
    <t>Alina Hult</t>
  </si>
  <si>
    <t>WD A Ananya Kandala (8477)</t>
  </si>
  <si>
    <t>Entries of XD A - Main Draw</t>
  </si>
  <si>
    <t>Juuso Atrila</t>
  </si>
  <si>
    <t>XD A Sari Roivainen (151)</t>
  </si>
  <si>
    <t>Trung Anh Hoang</t>
  </si>
  <si>
    <t>MD A Hai Truong (8687)</t>
  </si>
  <si>
    <t>XD A Duong Doan (9241)</t>
  </si>
  <si>
    <t>Duong Doan</t>
  </si>
  <si>
    <t>XD A Trung Anh Hoang (9501)</t>
  </si>
  <si>
    <t>Tomi Karttunen</t>
  </si>
  <si>
    <t>MD A Teemu Utela (5212)</t>
  </si>
  <si>
    <t>XD A Silja Soikkeli (6031)</t>
  </si>
  <si>
    <t>Anne Hintsala</t>
  </si>
  <si>
    <t>WD A Blas Lusoc-Nyman (8587)</t>
  </si>
  <si>
    <t>Teemu Lahtinen</t>
  </si>
  <si>
    <t>MD V Eero Lauri (4786)</t>
  </si>
  <si>
    <t>XD A Henna-Leena Lindberg (4321)</t>
  </si>
  <si>
    <t>Henna-Leena Lindberg</t>
  </si>
  <si>
    <t>XD A Teemu Lahtinen (4135)</t>
  </si>
  <si>
    <t>WD V Helena Santalahti (5843)</t>
  </si>
  <si>
    <t>Phuc Le Vinh</t>
  </si>
  <si>
    <t>XD A Alicia Gras (8935)</t>
  </si>
  <si>
    <t>Ville Malm</t>
  </si>
  <si>
    <t>MD B Toni Jääskeläinen (8675)</t>
  </si>
  <si>
    <t>XD A Michaela Ramstedt (55)</t>
  </si>
  <si>
    <t>Michaela Ramstedt</t>
  </si>
  <si>
    <t>WS B</t>
  </si>
  <si>
    <t>WD V Emmi Heikkinen () [Withdrawn]</t>
  </si>
  <si>
    <t>XD A Ville Malm (9334)</t>
  </si>
  <si>
    <t>Emelie Nyström</t>
  </si>
  <si>
    <t>WD B Sofie Nyström (5494)</t>
  </si>
  <si>
    <t>XD A Mikko Malmberg (6371)</t>
  </si>
  <si>
    <t>Anna Vuorenmaa</t>
  </si>
  <si>
    <t>XD B Juha Ojala (3191)</t>
  </si>
  <si>
    <t>Unni Parikka</t>
  </si>
  <si>
    <t>XD A Isak Melleri (6634)</t>
  </si>
  <si>
    <t>WD A Emma Lybeck (7408)</t>
  </si>
  <si>
    <t>Lauri Nyholm</t>
  </si>
  <si>
    <t>MD A Verneri Järvinen (8634)</t>
  </si>
  <si>
    <t>XD A Selma Kääriäinen (8512)</t>
  </si>
  <si>
    <t>Entries of XD A - Reserve</t>
  </si>
  <si>
    <t>Miika Savolainen</t>
  </si>
  <si>
    <t>Entries of MS B - Main Draw</t>
  </si>
  <si>
    <t>Tomi Auremaa</t>
  </si>
  <si>
    <t>MD B Juha Ojala (3191)</t>
  </si>
  <si>
    <t>Joel Hanski</t>
  </si>
  <si>
    <t>MS C</t>
  </si>
  <si>
    <t>Jani Heikkilä</t>
  </si>
  <si>
    <t>MD B  ()</t>
  </si>
  <si>
    <t>Kien Huynh</t>
  </si>
  <si>
    <t>Jussi Hyvärinen</t>
  </si>
  <si>
    <t>Sami Ilva</t>
  </si>
  <si>
    <t>Junya Iwata</t>
  </si>
  <si>
    <t>MS C [Withdrawn]</t>
  </si>
  <si>
    <t>Jesse Jääskeläinen</t>
  </si>
  <si>
    <t>Juho Jäppinen</t>
  </si>
  <si>
    <t>XD B Riikka Vihonen (7584)</t>
  </si>
  <si>
    <t>MD A Tapani Rousi (6643)</t>
  </si>
  <si>
    <t>Verneri Järvinen</t>
  </si>
  <si>
    <t>MD A Lauri Nyholm (4220)</t>
  </si>
  <si>
    <t>XD B Iiris Peltonen (9475)</t>
  </si>
  <si>
    <t>Lukas Kankkunen</t>
  </si>
  <si>
    <t>Joonas Karhula</t>
  </si>
  <si>
    <t>Elis Korkeamäki</t>
  </si>
  <si>
    <t>MD B Jonas Vokkolainen (8488)</t>
  </si>
  <si>
    <t>Filip Kroath</t>
  </si>
  <si>
    <t>MD B Eero Kallioranta (8258)</t>
  </si>
  <si>
    <t>Sami Kumpula</t>
  </si>
  <si>
    <t>MD A Simo Vartema (1789)</t>
  </si>
  <si>
    <t>Janne Lehtinen</t>
  </si>
  <si>
    <t>MD B Jussi Vessari (9481)</t>
  </si>
  <si>
    <t>Qilun Li</t>
  </si>
  <si>
    <t>MS A [Withdrawn]</t>
  </si>
  <si>
    <t>XD B Julia Ala-Pantti (8108)</t>
  </si>
  <si>
    <t>Juha Ojala</t>
  </si>
  <si>
    <t>MD B Tomi Auremaa (3018)</t>
  </si>
  <si>
    <t>XD B Anna Vuorenmaa (9153)</t>
  </si>
  <si>
    <t>MD B Artturi Björk (928)</t>
  </si>
  <si>
    <t>Entries of MS B - Exclude</t>
  </si>
  <si>
    <t>Joakim Jäntti</t>
  </si>
  <si>
    <t>XD B Vilma Sohlman (8491)</t>
  </si>
  <si>
    <t>MD B Viljami Opari (9555)</t>
  </si>
  <si>
    <t>Entries of WS B - Main Draw</t>
  </si>
  <si>
    <t>Barbara Andruskevic</t>
  </si>
  <si>
    <t>WD B Mira Montonen (8536)</t>
  </si>
  <si>
    <t>Kaisu Anttila</t>
  </si>
  <si>
    <t>WD C Raija Tuomela (6875)</t>
  </si>
  <si>
    <t>Salla-Mari Jokela</t>
  </si>
  <si>
    <t>XD B Otso Pennanen (8915)</t>
  </si>
  <si>
    <t>Blas Lusoc-Nyman</t>
  </si>
  <si>
    <t>WD A Anne Hintsala (1332)</t>
  </si>
  <si>
    <t>Emilia Mattila</t>
  </si>
  <si>
    <t>WD A  ()</t>
  </si>
  <si>
    <t>XD A Iiro Romppainen (6416)</t>
  </si>
  <si>
    <t>Mira Montonen</t>
  </si>
  <si>
    <t>WD B Barbara Andruskevic (9391)</t>
  </si>
  <si>
    <t>XD C Jaakko Lehtinen (8802)</t>
  </si>
  <si>
    <t>Nova Nyqvist</t>
  </si>
  <si>
    <t>WD B Emma Lindholm (2412)</t>
  </si>
  <si>
    <t>Oona Salo</t>
  </si>
  <si>
    <t>XD C Oscar Sivunen (9998)</t>
  </si>
  <si>
    <t>Entries of MD B - Main Draw</t>
  </si>
  <si>
    <t>Oskari Akkanen</t>
  </si>
  <si>
    <t>Tuomas Järvinen</t>
  </si>
  <si>
    <t>MD C  ()</t>
  </si>
  <si>
    <t>XD C  ()</t>
  </si>
  <si>
    <t>Christoffer Andersson</t>
  </si>
  <si>
    <t>MD B Harri Ikola (8467)</t>
  </si>
  <si>
    <t>Harri Ikola</t>
  </si>
  <si>
    <t>MD B Christoffer Andersson (68)</t>
  </si>
  <si>
    <t>Artturi Björk</t>
  </si>
  <si>
    <t>XD C  () [Withdrawn]</t>
  </si>
  <si>
    <t>MD B Jonas Wilkman (4862)</t>
  </si>
  <si>
    <t>Jonas Wilkman</t>
  </si>
  <si>
    <t>Aakash Gamage</t>
  </si>
  <si>
    <t>MD B Onni Kari (8884)</t>
  </si>
  <si>
    <t>Jari Hietala</t>
  </si>
  <si>
    <t>Tommi Huhtinen</t>
  </si>
  <si>
    <t>MD C Simo Ikonen (1785)</t>
  </si>
  <si>
    <t>Simo Ikonen</t>
  </si>
  <si>
    <t>MD B Sami Huttunen (1324)</t>
  </si>
  <si>
    <t>MD C Tommi Huhtinen (5846)</t>
  </si>
  <si>
    <t>Toni Jääskeläinen</t>
  </si>
  <si>
    <t>XD B Miia Vainio (8521)</t>
  </si>
  <si>
    <t>MD B Ville Malm (9334)</t>
  </si>
  <si>
    <t>Viljami Opari</t>
  </si>
  <si>
    <t>MD B Joakim Jäntti (9180)</t>
  </si>
  <si>
    <t>Antton Oksanen</t>
  </si>
  <si>
    <t>MD B Jukka-Pekka Keinänen (9517)</t>
  </si>
  <si>
    <t>Jonas Vokkolainen</t>
  </si>
  <si>
    <t>MD B Elis Korkeamäki (9167)</t>
  </si>
  <si>
    <t>XD C Lumia Schmidt (9567)</t>
  </si>
  <si>
    <t>Robert Lagerroos</t>
  </si>
  <si>
    <t>MD B Wongsakorn Sertsandee (10005)</t>
  </si>
  <si>
    <t>Wongsakorn Sertsandee</t>
  </si>
  <si>
    <t>MD B Robert Lagerroos (8916)</t>
  </si>
  <si>
    <t>Jussi Vessari</t>
  </si>
  <si>
    <t>MD B Janne Lehtinen (8011)</t>
  </si>
  <si>
    <t>Topias Puhka</t>
  </si>
  <si>
    <t>MD B Johannes Lehtinen (8801)</t>
  </si>
  <si>
    <t>Alexander Lindholm</t>
  </si>
  <si>
    <t>XD B Emma Lindholm (2412)</t>
  </si>
  <si>
    <t>MD A Andreas Segercrantz (3566)</t>
  </si>
  <si>
    <t>MD B Andreas Segercrantz (3566)</t>
  </si>
  <si>
    <t>Andreas Segercrantz</t>
  </si>
  <si>
    <t>MD A Alexander Lindholm (2808)</t>
  </si>
  <si>
    <t>MD B Alexander Lindholm (2808)</t>
  </si>
  <si>
    <t>Alexandro Lodieu</t>
  </si>
  <si>
    <t>MD B Qixiun Shan (8267)</t>
  </si>
  <si>
    <t>MD C Qixiun Shan (8267)</t>
  </si>
  <si>
    <t>Qixiun Shan</t>
  </si>
  <si>
    <t>MD B Alexandro Lodieu (9338)</t>
  </si>
  <si>
    <t>MD C Alexandro Lodieu (9338)</t>
  </si>
  <si>
    <t>Tero Lybeck</t>
  </si>
  <si>
    <t>XD C Laura Sohlman (7550)</t>
  </si>
  <si>
    <t>MD B Teemu Vanhanen (3237)</t>
  </si>
  <si>
    <t>Teemu Vanhanen</t>
  </si>
  <si>
    <t>MD B Tero Lybeck (4069)</t>
  </si>
  <si>
    <t>Entries of MD B - Exclude</t>
  </si>
  <si>
    <t>Sami Huttunen</t>
  </si>
  <si>
    <t>MD B Simo Ikonen (1785)</t>
  </si>
  <si>
    <t>Antti Sohlman</t>
  </si>
  <si>
    <t>XD A An Cong (4775)</t>
  </si>
  <si>
    <t>Entries of WD B - Main Draw</t>
  </si>
  <si>
    <t>Miia Vainio</t>
  </si>
  <si>
    <t>XD B Toni Jääskeläinen (8675)</t>
  </si>
  <si>
    <t>Essi Alanko</t>
  </si>
  <si>
    <t>XD B Jussi Heimovirta (3494)</t>
  </si>
  <si>
    <t>WD B Elina Heikkilä (4920)</t>
  </si>
  <si>
    <t>Linh Dang</t>
  </si>
  <si>
    <t>WD B Serafia Kari (5381)</t>
  </si>
  <si>
    <t>WS C [Withdrawn]</t>
  </si>
  <si>
    <t>Serafia Kari</t>
  </si>
  <si>
    <t>XD B Tan Nguyen (9324)</t>
  </si>
  <si>
    <t>WD B Linh Dang (9407)</t>
  </si>
  <si>
    <t>Entries of XD B - Main Draw</t>
  </si>
  <si>
    <t>Jussi Heimovirta</t>
  </si>
  <si>
    <t>XD B Essi Alanko (9251)</t>
  </si>
  <si>
    <t>MD A Oskari Rantanen (5036)</t>
  </si>
  <si>
    <t>Riikka Vihonen</t>
  </si>
  <si>
    <t>WD A Suvi Kallio (5802)</t>
  </si>
  <si>
    <t>XD B Juho Jäppinen (8293)</t>
  </si>
  <si>
    <t>Iiris Peltonen</t>
  </si>
  <si>
    <t>WS C</t>
  </si>
  <si>
    <t>WD C Meea Sorvali (9669)</t>
  </si>
  <si>
    <t>XD B Verneri Järvinen (8634)</t>
  </si>
  <si>
    <t>Venla Tran Minh</t>
  </si>
  <si>
    <t>XD B Onni Kari (8884)</t>
  </si>
  <si>
    <t>WD B Elisa Ranta (3689)</t>
  </si>
  <si>
    <t>Emma Lindholm</t>
  </si>
  <si>
    <t>XD B Alexander Lindholm (2808)</t>
  </si>
  <si>
    <t>WD B Nova Nyqvist (8418)</t>
  </si>
  <si>
    <t>Hieu Nguyen Dinh</t>
  </si>
  <si>
    <t>XD B Anh Le (8554)</t>
  </si>
  <si>
    <t>Anh Le</t>
  </si>
  <si>
    <t>XD B Hieu Nguyen Dinh (9168)</t>
  </si>
  <si>
    <t>Tan Nguyen</t>
  </si>
  <si>
    <t>MS B [Withdrawn]</t>
  </si>
  <si>
    <t>XD B Serafia Kari (5381)</t>
  </si>
  <si>
    <t>MD A Patipun Nontasin (9622)</t>
  </si>
  <si>
    <t>Patipun Nontasin</t>
  </si>
  <si>
    <t>XD B Elisa Ranta (3689)</t>
  </si>
  <si>
    <t>MD A Tan Nguyen (9324)</t>
  </si>
  <si>
    <t>Elisa Ranta</t>
  </si>
  <si>
    <t>XD B Patipun Nontasin (9622)</t>
  </si>
  <si>
    <t>WD B Venla Tran Minh (8951)</t>
  </si>
  <si>
    <t>Meea Sorvali</t>
  </si>
  <si>
    <t>WD C Iiris Peltonen (9475)</t>
  </si>
  <si>
    <t>XD B Kim Palko (5225)</t>
  </si>
  <si>
    <t>Otso Pennanen</t>
  </si>
  <si>
    <t>XD B Salla-Mari Jokela (6146)</t>
  </si>
  <si>
    <t>MD C Daniel Uhlbäck (9064)</t>
  </si>
  <si>
    <t>Perttu Räisänen</t>
  </si>
  <si>
    <t>MD A Mikko Pohjalainen (3263)</t>
  </si>
  <si>
    <t>XD B Mia Petra (769)</t>
  </si>
  <si>
    <t>Mia Petra</t>
  </si>
  <si>
    <t>WD B Mirva Salonen (6869)</t>
  </si>
  <si>
    <t>XD B Perttu Räisänen (6107)</t>
  </si>
  <si>
    <t>Teemu Rantala</t>
  </si>
  <si>
    <t>Vilma Sohlman</t>
  </si>
  <si>
    <t>XD B Joakim Jäntti (9180)</t>
  </si>
  <si>
    <t>Entries of XD B - Exclude</t>
  </si>
  <si>
    <t>Entries of MS C - Main Draw</t>
  </si>
  <si>
    <t>Ivar Bäckblom</t>
  </si>
  <si>
    <t>MD C Lukas Holm (9469)</t>
  </si>
  <si>
    <t>Hanxi Ding</t>
  </si>
  <si>
    <t>Kauri Heikkinen</t>
  </si>
  <si>
    <t>Duc-Anh Hoang</t>
  </si>
  <si>
    <t>MD C Phuong Truong () [Withdrawn]</t>
  </si>
  <si>
    <t>Long Hoang</t>
  </si>
  <si>
    <t>Lukas Holm</t>
  </si>
  <si>
    <t>MD C Ivar Bäckblom (8453)</t>
  </si>
  <si>
    <t>Ninad Hossain</t>
  </si>
  <si>
    <t>MD C Shahid Hossain (7356)</t>
  </si>
  <si>
    <t>Arto Huikko</t>
  </si>
  <si>
    <t>XD C Eeva Lindgren (9476)</t>
  </si>
  <si>
    <t>MD C Leo Rouvinen (9473)</t>
  </si>
  <si>
    <t>Nelmo Huotari</t>
  </si>
  <si>
    <t>MD C Elias Krogdahl (9994)</t>
  </si>
  <si>
    <t>Petri Hynynen</t>
  </si>
  <si>
    <t>MD C Jari Metsälä (9988)</t>
  </si>
  <si>
    <t>Santtu Itkonen</t>
  </si>
  <si>
    <t>MD C Marcus Siivonen (8092)</t>
  </si>
  <si>
    <t>Ilmari Kaario</t>
  </si>
  <si>
    <t>Riku Kauppi</t>
  </si>
  <si>
    <t>Elias Krogdahl</t>
  </si>
  <si>
    <t>MD C Nelmo Huotari (9987)</t>
  </si>
  <si>
    <t>Topias Laine</t>
  </si>
  <si>
    <t>MD C Risto Lampén (8363)</t>
  </si>
  <si>
    <t>Samu Laita</t>
  </si>
  <si>
    <t>MD C Lasse Petra (9790)</t>
  </si>
  <si>
    <t>XD C Lotta Walinen (8648)</t>
  </si>
  <si>
    <t>Risto Lampén</t>
  </si>
  <si>
    <t>MD C Topias Laine (9402)</t>
  </si>
  <si>
    <t>XD C Aada Suutari (9886)</t>
  </si>
  <si>
    <t>Jaakko Lehtinen</t>
  </si>
  <si>
    <t>MD C Milan Rajan Rathish (8977)</t>
  </si>
  <si>
    <t>XD C Mira Montonen (8536)</t>
  </si>
  <si>
    <t>Lassi Lybeck</t>
  </si>
  <si>
    <t>XD C Oona Saarinen (9055)</t>
  </si>
  <si>
    <t>Entries of WS C - Main Draw</t>
  </si>
  <si>
    <t>Siiri Hietala</t>
  </si>
  <si>
    <t>Suvi Laukkanen</t>
  </si>
  <si>
    <t>WD C Oona Saarinen (9055)</t>
  </si>
  <si>
    <t>Louna Penttinen</t>
  </si>
  <si>
    <t>WD C  ()</t>
  </si>
  <si>
    <t>XD C Miika Rautamies (9757)</t>
  </si>
  <si>
    <t>Oona Saarinen</t>
  </si>
  <si>
    <t>WD C Suvi Laukkanen (8826)</t>
  </si>
  <si>
    <t>XD C Lassi Lybeck (8519)</t>
  </si>
  <si>
    <t>Lumia Schmidt</t>
  </si>
  <si>
    <t>XD C Jonas Vokkolainen (8488)</t>
  </si>
  <si>
    <t xml:space="preserve">WD C Evelin Kinnunen (8799) </t>
  </si>
  <si>
    <t>[Withdrawn]</t>
  </si>
  <si>
    <t>Aada Suutari</t>
  </si>
  <si>
    <t>XD C Risto Lampén (8363)</t>
  </si>
  <si>
    <t>Ella Tuunainen</t>
  </si>
  <si>
    <t>Xin Zhang</t>
  </si>
  <si>
    <t>XD C Hanchen Wang () [Withdrawn]</t>
  </si>
  <si>
    <t>XD B Hanchen Wang (9239)</t>
  </si>
  <si>
    <t>Entries of MD C - Main Draw</t>
  </si>
  <si>
    <t>Kai Antell</t>
  </si>
  <si>
    <t>Saravanaperumalraj Chandra Bose</t>
  </si>
  <si>
    <t>MD C Suhail Ismail (10004)</t>
  </si>
  <si>
    <t>Suhail Ismail</t>
  </si>
  <si>
    <t xml:space="preserve">MD C Saravanaperumalraj Chandra </t>
  </si>
  <si>
    <t>Bose (10008)</t>
  </si>
  <si>
    <t>Ken Cheng</t>
  </si>
  <si>
    <t>MD C Henri Vahlman (9820)</t>
  </si>
  <si>
    <t>Henri Vahlman</t>
  </si>
  <si>
    <t>MD C Ken Cheng (9384)</t>
  </si>
  <si>
    <t>Chengran Di</t>
  </si>
  <si>
    <t>MD C Hanchen Wang (9239)</t>
  </si>
  <si>
    <t>Hanchen Wang</t>
  </si>
  <si>
    <t>MD C Chengran Di (9717)</t>
  </si>
  <si>
    <t>XD C Xin Zhang () [Withdrawn]</t>
  </si>
  <si>
    <t>XD B Xin Zhang (9978)</t>
  </si>
  <si>
    <t>Arnav Gupta</t>
  </si>
  <si>
    <t>MD C Max Meskanen (9599)</t>
  </si>
  <si>
    <t>Max Meskanen</t>
  </si>
  <si>
    <t>MD C Arnav Gupta (9413)</t>
  </si>
  <si>
    <t>Shahid Hossain</t>
  </si>
  <si>
    <t>MD C Ninad Hossain (8978)</t>
  </si>
  <si>
    <t>Leo Rouvinen</t>
  </si>
  <si>
    <t>MD C Arto Huikko (9373)</t>
  </si>
  <si>
    <t>XD C Roosa Lankinen (9967)</t>
  </si>
  <si>
    <t>Jari Metsälä</t>
  </si>
  <si>
    <t>MD C Petri Hynynen (9169)</t>
  </si>
  <si>
    <t>Marcus Siivonen</t>
  </si>
  <si>
    <t>MD C Santtu Itkonen (8364)</t>
  </si>
  <si>
    <t>Nilusha Jayawickrama</t>
  </si>
  <si>
    <t>MD C Ramindu Nanayakkara (9680)</t>
  </si>
  <si>
    <t>Ramindu Nanayakkara</t>
  </si>
  <si>
    <t>MD C Nilusha Jayawickrama (9693)</t>
  </si>
  <si>
    <t>XD C Dithara Ariyasinghe (9563)</t>
  </si>
  <si>
    <t>Jani Kemppainen</t>
  </si>
  <si>
    <t>MD C Matti Uronen (3187)</t>
  </si>
  <si>
    <t>Matti Uronen</t>
  </si>
  <si>
    <t>MD B Petri Pyykkö (3186)</t>
  </si>
  <si>
    <t>MD C Jani Kemppainen (1651)</t>
  </si>
  <si>
    <t>Entries of MD C - Exclude</t>
  </si>
  <si>
    <t>Pekka Ojala</t>
  </si>
  <si>
    <t>MD C Pasi-Petteri Ahola (9993)</t>
  </si>
  <si>
    <t>Entries of WD C - Main Draw</t>
  </si>
  <si>
    <t>Raija Tuomela</t>
  </si>
  <si>
    <t>WD C Kaisu Anttila (9436)</t>
  </si>
  <si>
    <t>XD C Jukka Penttinen (921)</t>
  </si>
  <si>
    <t>Dithara Ariyasinghe</t>
  </si>
  <si>
    <t>WD C Nilmini Lokuge (9558)</t>
  </si>
  <si>
    <t>XD C Ramindu Nanayakkara (9680)</t>
  </si>
  <si>
    <t>Nilmini Lokuge</t>
  </si>
  <si>
    <t>WD C Dithara Ariyasinghe (9563)</t>
  </si>
  <si>
    <t>Roosa Lankinen</t>
  </si>
  <si>
    <t>WD C Eeva Lindgren (9476)</t>
  </si>
  <si>
    <t>XD C Leo Rouvinen (9473)</t>
  </si>
  <si>
    <t>Eeva Lindgren</t>
  </si>
  <si>
    <t>XD C Arto Huikko (9373)</t>
  </si>
  <si>
    <t>WD C Roosa Lankinen (9967)</t>
  </si>
  <si>
    <t>Entries of XD C - Main Draw</t>
  </si>
  <si>
    <t>Prottoy Akbar</t>
  </si>
  <si>
    <t>XD C Thao Le (9529)</t>
  </si>
  <si>
    <t>Thao Le</t>
  </si>
  <si>
    <t>XD C Prottoy Akbar (9184)</t>
  </si>
  <si>
    <t>Lotta Walinen</t>
  </si>
  <si>
    <t>WD B Vilma Kämäri (9682)</t>
  </si>
  <si>
    <t>XD C Samu Laita (9177)</t>
  </si>
  <si>
    <t>Laura Sohlman</t>
  </si>
  <si>
    <t>XD C Tero Lybeck (4069)</t>
  </si>
  <si>
    <t>Entries of XD C - Reserve</t>
  </si>
  <si>
    <t>Encoding</t>
  </si>
  <si>
    <t>Round</t>
  </si>
  <si>
    <t>MD V</t>
  </si>
  <si>
    <t>WD V</t>
  </si>
  <si>
    <t>XD V</t>
  </si>
  <si>
    <t>MD A</t>
  </si>
  <si>
    <t>WD A</t>
  </si>
  <si>
    <t>XD A</t>
  </si>
  <si>
    <t>MD B</t>
  </si>
  <si>
    <t>WD B</t>
  </si>
  <si>
    <t>XD B</t>
  </si>
  <si>
    <t>MD C</t>
  </si>
  <si>
    <t>WD C</t>
  </si>
  <si>
    <t>XD C</t>
  </si>
  <si>
    <t>Minizinc ska ha:</t>
  </si>
  <si>
    <t>Klass:</t>
  </si>
  <si>
    <t>ex.</t>
  </si>
  <si>
    <t>40 min mällan valio</t>
  </si>
  <si>
    <t>x</t>
  </si>
  <si>
    <t>Alla timeslots</t>
  </si>
  <si>
    <t>Rundor:</t>
  </si>
  <si>
    <t>ex. (för WD A)</t>
  </si>
  <si>
    <t>Alla matcher = matcher per runda * rundor * klasser</t>
  </si>
  <si>
    <t>Matcher per runda:</t>
  </si>
  <si>
    <t>r1 = 6</t>
  </si>
  <si>
    <t>r2 = 4</t>
  </si>
  <si>
    <t>r3 = 2</t>
  </si>
  <si>
    <t>r4 = 1</t>
  </si>
  <si>
    <t>(sista rundan måste vara 1)</t>
  </si>
  <si>
    <t>Rundor</t>
  </si>
  <si>
    <t>Tidsslot:</t>
  </si>
  <si>
    <t>vector</t>
  </si>
  <si>
    <t>det finns x antal timeslots</t>
  </si>
  <si>
    <t>dom representerar 9:00, 9:15, 9:30, 9:45, ...</t>
  </si>
  <si>
    <t>Matcher per runda</t>
  </si>
  <si>
    <t>Nivå:</t>
  </si>
  <si>
    <t>C, B, A, Elit</t>
  </si>
  <si>
    <t>Domarmatcher:</t>
  </si>
  <si>
    <t>Elit och Finaler i A</t>
  </si>
  <si>
    <t>[match, timeslot] array</t>
  </si>
  <si>
    <t>Kollisioner innom en nivå:</t>
  </si>
  <si>
    <t>ex. (för A)</t>
  </si>
  <si>
    <t>Starta MD A 9:30</t>
  </si>
  <si>
    <t>Kolliderar med</t>
  </si>
  <si>
    <t>MD B, MD A</t>
  </si>
  <si>
    <t>Andreas segercrants</t>
  </si>
  <si>
    <t>Kollision mellan nivåer:</t>
  </si>
  <si>
    <t>alex lindhom</t>
  </si>
  <si>
    <t>MDB, MD A</t>
  </si>
  <si>
    <t>Johannes lehtinen</t>
  </si>
  <si>
    <t>Patrik vena</t>
  </si>
  <si>
    <t>Conditions:</t>
  </si>
  <si>
    <t>En klass måste ha min 60 min mällan sina rundor</t>
  </si>
  <si>
    <t>Alla matcher i en runda måste sättas in i max två efterföljande (jämna) tidsslots</t>
  </si>
  <si>
    <t>Inga rundor får delas upp mellan sista tidsslotten på lördag och första tidsslotten på söndag</t>
  </si>
  <si>
    <t>En tidsslot kan ha max 10 matcher</t>
  </si>
  <si>
    <t>Det får inte spelas mer än 4 domarmatcher på en tidsslot</t>
  </si>
  <si>
    <t>Domarmatcher måste ha min 45 min mällan sig</t>
  </si>
  <si>
    <t>Innom en nivå vill vi hällst att singel spelas först, sedan dubbel, sedan mixt</t>
  </si>
  <si>
    <t>Innom en nivå måste alla rundor i kolliderande klasser spelas med minst 1 tom tidsslots mällanrum</t>
  </si>
  <si>
    <t>Rundor i kolliderande klasser som inte hör till samma nivå får inte spelas på samma tidsslot</t>
  </si>
  <si>
    <t>Maximera tiden mällan rundor i kolliderande klasser</t>
  </si>
  <si>
    <t>Vikta kolliderande klasser? destu fler kollisioner, destu viktigare att det är mycket tid mellan rundorna</t>
  </si>
  <si>
    <t>Alla matcher ska spelas exakt en gång</t>
  </si>
  <si>
    <t>Alla icke domarmatcher får bara spelas i timeslots som är prick och halv</t>
  </si>
  <si>
    <t>(jämna tidsslots)</t>
  </si>
  <si>
    <t>Timeslots är med 15 min mällanrum</t>
  </si>
  <si>
    <t>WD B - 15:15</t>
  </si>
  <si>
    <t>MD A *</t>
  </si>
  <si>
    <t>Minimera användningen av udda tidsslots (kvarter)</t>
  </si>
  <si>
    <t>29.92385787</t>
  </si>
  <si>
    <t>Andra spelare kommer på banorna</t>
  </si>
  <si>
    <t>Öppet anmälda par</t>
  </si>
  <si>
    <t>Miiko Savolainen</t>
  </si>
  <si>
    <t>+</t>
  </si>
  <si>
    <t>Tommi Salonpää</t>
  </si>
  <si>
    <t>To Do</t>
  </si>
  <si>
    <t>Arttu Vainio</t>
  </si>
  <si>
    <t>Eemeli Valkonen</t>
  </si>
  <si>
    <t>Fakturera banspons:</t>
  </si>
  <si>
    <t>Fixa entries in MD V &amp; WD V</t>
  </si>
  <si>
    <t>Hna hade annat par som drog sig ur</t>
  </si>
  <si>
    <t>Boka fler banor</t>
  </si>
  <si>
    <t>Alina hult</t>
  </si>
  <si>
    <t>Hon sa att hon kunde i sin note</t>
  </si>
  <si>
    <t>Måste ändras för Juan Rafols ska sättas me par</t>
  </si>
  <si>
    <t>Juan Rafols</t>
  </si>
  <si>
    <t>Antti Shoulman</t>
  </si>
  <si>
    <t>Sara Asfar</t>
  </si>
  <si>
    <t>Tuomas järvinen tilsatt för han ville, och han fick int par i XD C</t>
  </si>
  <si>
    <t>Kari Antell</t>
  </si>
  <si>
    <t>Pekka Ojala har 0 poäng, helt som Yetukuri, så dom lottades</t>
  </si>
  <si>
    <t>Miika Rautamies</t>
  </si>
  <si>
    <t>Bhuvan Yetukuri</t>
  </si>
  <si>
    <t>Luona Penttinen</t>
  </si>
  <si>
    <t>Player</t>
  </si>
  <si>
    <t>Events</t>
  </si>
  <si>
    <t>Warnings</t>
  </si>
  <si>
    <t>WS B, WS C, XD C</t>
  </si>
  <si>
    <t>MD A, MS A</t>
  </si>
  <si>
    <t>WD V, WS V, XD V</t>
  </si>
  <si>
    <t>MD V, MS V</t>
  </si>
  <si>
    <t>MD A, MD B, XD B</t>
  </si>
  <si>
    <t>MD B, MD C, MS C</t>
  </si>
  <si>
    <t>WD V, WS V, XD A</t>
  </si>
  <si>
    <t>WD A, XD A</t>
  </si>
  <si>
    <t>MD V, MS V, XD V</t>
  </si>
  <si>
    <t>WD A, WS V</t>
  </si>
  <si>
    <t>MD A, MD B</t>
  </si>
  <si>
    <t>XD A, XD B</t>
  </si>
  <si>
    <t xml:space="preserve"> ⚠️ Sole reason XD A collides with XD B</t>
  </si>
  <si>
    <t>MD V, XD V</t>
  </si>
  <si>
    <t>MS A, XD A</t>
  </si>
  <si>
    <t>MD B, MS C, XD A</t>
  </si>
  <si>
    <t>MD B, MS B</t>
  </si>
  <si>
    <t>MD C, MS C, XD C</t>
  </si>
  <si>
    <t>MD B, MS C, XD C</t>
  </si>
  <si>
    <t>WD B, WS B</t>
  </si>
  <si>
    <t>WD A, WS B</t>
  </si>
  <si>
    <t>WD A, XD B</t>
  </si>
  <si>
    <t xml:space="preserve"> ⚠️ Sole reason WD A collides with XD B</t>
  </si>
  <si>
    <t>WD C, XD C</t>
  </si>
  <si>
    <t>MD C, MS C</t>
  </si>
  <si>
    <t>MD B, MS A</t>
  </si>
  <si>
    <t>WD C, WS C, XD C</t>
  </si>
  <si>
    <t>WD A, WD B, XD B</t>
  </si>
  <si>
    <t xml:space="preserve"> ⚠️ Sole reason WD A collides with WD B</t>
  </si>
  <si>
    <t>WD B, WS C, XD B</t>
  </si>
  <si>
    <t>WD A, WS A</t>
  </si>
  <si>
    <t>WD B, XD A</t>
  </si>
  <si>
    <t>WD A, WS B, XD A</t>
  </si>
  <si>
    <t>WD B, XD B</t>
  </si>
  <si>
    <t>WD A, XD V</t>
  </si>
  <si>
    <t>WD V, WS A, XD V</t>
  </si>
  <si>
    <t>MD C, XD B, XD C</t>
  </si>
  <si>
    <t>WD V, XD V</t>
  </si>
  <si>
    <t>WD A, WS A, XD A</t>
  </si>
  <si>
    <t>WD V, XD A</t>
  </si>
  <si>
    <t>WD C, WS C, XD B</t>
  </si>
  <si>
    <t>MD V, MS A, XD A</t>
  </si>
  <si>
    <t>MD A, MS A, XD A</t>
  </si>
  <si>
    <t>MD A, XD V</t>
  </si>
  <si>
    <t>MD B, XD B</t>
  </si>
  <si>
    <t xml:space="preserve"> ⚠️ Sole reason WD V collides with WS A | ⚠️ Sole reason WS A collides with XD V</t>
  </si>
  <si>
    <t>MD B, MS B, XD B</t>
  </si>
  <si>
    <t>MS B, MS C</t>
  </si>
  <si>
    <t xml:space="preserve"> ⚠️ Sole reason MS B collides with MS C</t>
  </si>
  <si>
    <t>MD A, MD B, MS A</t>
  </si>
  <si>
    <t>MD A, MS B, XD B</t>
  </si>
  <si>
    <t>WD B, WS A, XD B</t>
  </si>
  <si>
    <t xml:space="preserve"> ⚠️ Sole reason WS A collides with XD B | ⚠️ Sole reason WD B collides with WS A</t>
  </si>
  <si>
    <t>MD V, MS A, XD V</t>
  </si>
  <si>
    <t>MD A, XD B</t>
  </si>
  <si>
    <t>MS B, XD A</t>
  </si>
  <si>
    <t xml:space="preserve"> ⚠️ Sole reason MS B collides with XD A</t>
  </si>
  <si>
    <t>WD C, WS B</t>
  </si>
  <si>
    <t xml:space="preserve"> ⚠️ Sole reason WD C collides with WS B</t>
  </si>
  <si>
    <t>MS A, XD B</t>
  </si>
  <si>
    <t xml:space="preserve"> ⚠️ Sole reason MD A collides with MS A</t>
  </si>
  <si>
    <t>MS A, MS B</t>
  </si>
  <si>
    <t xml:space="preserve"> ⚠️ Sole reason MS A collides with MS B</t>
  </si>
  <si>
    <t>MS C, XD C</t>
  </si>
  <si>
    <t>MD A, XD A</t>
  </si>
  <si>
    <t>WD B, WS C</t>
  </si>
  <si>
    <t>WD A, WD V, XD V</t>
  </si>
  <si>
    <t xml:space="preserve"> ⚠️ Sole reason WD A collides with XD V</t>
  </si>
  <si>
    <t>WD B, XD C</t>
  </si>
  <si>
    <t>MD V, XD A</t>
  </si>
  <si>
    <t>MD B, MD C</t>
  </si>
  <si>
    <t>WD V, WS B, XD A</t>
  </si>
  <si>
    <t xml:space="preserve"> ⚠️ Sole reason WS B collides with XD A</t>
  </si>
  <si>
    <t>WD B, WS B, XD C</t>
  </si>
  <si>
    <t xml:space="preserve"> ⚠️ Sole reason WS B collides with XD C | ⚠️ Sole reason WD B collides with XD C</t>
  </si>
  <si>
    <t>MD V, MS V, XD A</t>
  </si>
  <si>
    <t xml:space="preserve"> ⚠️ Sole reason MS V collides with XD A</t>
  </si>
  <si>
    <t>MD B, MS A, XD B</t>
  </si>
  <si>
    <t>WS B, XD C</t>
  </si>
  <si>
    <t>MD B, MS C</t>
  </si>
  <si>
    <t>MD C, MS C, XD B, XD C</t>
  </si>
  <si>
    <t>WS A, XD A</t>
  </si>
  <si>
    <t>MS A, MS B, XD B</t>
  </si>
  <si>
    <t>MD C, XD C</t>
  </si>
  <si>
    <t>MD V, MS A</t>
  </si>
  <si>
    <t>WD V, WS V</t>
  </si>
  <si>
    <t>WS B, XD B</t>
  </si>
  <si>
    <t xml:space="preserve"> ⚠️ Sole reason WS B collides with XD B</t>
  </si>
  <si>
    <t>MD A, MS B</t>
  </si>
  <si>
    <t>MS V, XD V</t>
  </si>
  <si>
    <t>WS V, XD A</t>
  </si>
  <si>
    <t>WD C, WS C</t>
  </si>
  <si>
    <t>MD B, XD C</t>
  </si>
  <si>
    <t xml:space="preserve"> ⚠️ Sole reason MD B collides with XD C</t>
  </si>
  <si>
    <t>MD B, MD C, XD B, XD C</t>
  </si>
  <si>
    <t>WD B, WS B, XD B</t>
  </si>
  <si>
    <t>MD B, XD A</t>
  </si>
  <si>
    <t xml:space="preserve"> ⚠️ Sole reason MD B collides with XD A</t>
  </si>
  <si>
    <t>WS A, XD B</t>
  </si>
  <si>
    <t>WD C, WS C, XD B, XD C</t>
  </si>
  <si>
    <t>Date/Time</t>
  </si>
  <si>
    <t>Violation</t>
  </si>
  <si>
    <t>Log entry at 2025-10-09 10:53:14</t>
  </si>
  <si>
    <t>⚠️ Eero Lauri</t>
  </si>
  <si>
    <t>plays MD V, so cannot play MD A</t>
  </si>
  <si>
    <t>⚠️ Linnea Vainula</t>
  </si>
  <si>
    <t>plays WD V, so cannot play WD A</t>
  </si>
  <si>
    <t>plays 3 doubles classes (WD V, WD A, XD V)</t>
  </si>
  <si>
    <t>⚠️ Viivi Brandt</t>
  </si>
  <si>
    <t>⚠️ Teemu Lahtinen</t>
  </si>
  <si>
    <t>plays 3 doubles classes (MD A, MD V, XD A)</t>
  </si>
  <si>
    <t>⚠️ Alexander Lindholm</t>
  </si>
  <si>
    <t>plays 3 doubles classes (MD B, MD A, XD B)</t>
  </si>
  <si>
    <t>⚠️ Elina Heikkilä</t>
  </si>
  <si>
    <t>plays 3 doubles classes (WD A, WD B, XD B)</t>
  </si>
  <si>
    <t>⚠️ Tuomas Järvinen</t>
  </si>
  <si>
    <t>participates in 4 events (XD C, MD B, MD C, XD B)</t>
  </si>
  <si>
    <t>plays 4 doubles classes (XD C, MD B, MD C, XD B)</t>
  </si>
  <si>
    <t>⚠️ Otso Pennanen</t>
  </si>
  <si>
    <t>participates in 4 events (XD C, MD C, MS C, XD B)</t>
  </si>
  <si>
    <t>plays 3 doubles classes (XD C, MD C, XD B)</t>
  </si>
  <si>
    <t>⚠️ Hanchen Wang</t>
  </si>
  <si>
    <t>⚠️ Xin Zhang</t>
  </si>
  <si>
    <t>participates in 4 events (XD C, WD C, WS C, XD B)</t>
  </si>
  <si>
    <t>plays 3 doubles classes (XD C, WD C, XD B)</t>
  </si>
  <si>
    <t>Log entry at 2025-10-09 10:55:40</t>
  </si>
  <si>
    <t>plays 3 doubles classes (WD V, XD V, WD A)</t>
  </si>
  <si>
    <t>plays 3 doubles classes (XD A, MD A, MD V)</t>
  </si>
  <si>
    <t>plays 3 doubles classes (WD B, WD A, XD B)</t>
  </si>
  <si>
    <t>participates in 4 events (MD B, MD C, XD C, XD B)</t>
  </si>
  <si>
    <t>plays 4 doubles classes (MD B, MD C, XD C, XD B)</t>
  </si>
  <si>
    <t>participates in 4 events (XD C, WS C, WD C, XD B)</t>
  </si>
  <si>
    <t>Log entry at 2025-10-15 14:29:14</t>
  </si>
  <si>
    <t>plays 3 doubles classes (WD A, WD V, XD V)</t>
  </si>
  <si>
    <t>plays 3 doubles classes (XD B, WD A, WD B)</t>
  </si>
  <si>
    <t>participates in 4 events (XD C, XD B, MD B, MD C)</t>
  </si>
  <si>
    <t>plays 4 doubles classes (XD C, XD B, MD B, MD C)</t>
  </si>
  <si>
    <t>plays 3 doubles classes (MD A, XD B, MD B)</t>
  </si>
  <si>
    <t>participates in 4 events (MS C, XD B, XD C, MD C)</t>
  </si>
  <si>
    <t>plays 3 doubles classes (XD B, XD C, MD C)</t>
  </si>
  <si>
    <t>participates in 4 events (XD C, XD B, WS C, WD C)</t>
  </si>
  <si>
    <t>plays 3 doubles classes (XD C, XD B, WD C)</t>
  </si>
  <si>
    <t>Log entry at 2025-10-15 14:31:28</t>
  </si>
  <si>
    <t>participates in 4 events (XD B, MD C, MD B, XD C)</t>
  </si>
  <si>
    <t>plays 4 doubles classes (XD B, MD C, MD B, XD C)</t>
  </si>
  <si>
    <t>plays 3 doubles classes (XD B, MD A, MD B)</t>
  </si>
  <si>
    <t>participates in 4 events (MS C, XD B, MD C, XD C)</t>
  </si>
  <si>
    <t>plays 3 doubles classes (XD B, MD C, XD C)</t>
  </si>
  <si>
    <t>participates in 4 events (XD B, WS C, WD C, XD C)</t>
  </si>
  <si>
    <t>plays 3 doubles classes (XD B, WD C, XD C)</t>
  </si>
  <si>
    <t>Log entry at 2025-10-15 16:11:04</t>
  </si>
  <si>
    <t>plays 3 doubles classes (WD A, XD B, WD B)</t>
  </si>
  <si>
    <t>participates in 4 events (XD C, XD B, MD C, MD B)</t>
  </si>
  <si>
    <t>plays 4 doubles classes (XD C, XD B, MD C, MD B)</t>
  </si>
  <si>
    <t>participates in 4 events (XD B, MD C, MS C, XD C)</t>
  </si>
  <si>
    <t>participates in 4 events (WD C, XD B, XD C, WS C)</t>
  </si>
  <si>
    <t>plays 3 doubles classes (WD C, XD B, XD C)</t>
  </si>
  <si>
    <t>Event</t>
  </si>
  <si>
    <t>Collides With</t>
  </si>
  <si>
    <t>Player amount</t>
  </si>
  <si>
    <t>Round 1</t>
  </si>
  <si>
    <t>Round 2</t>
  </si>
  <si>
    <t>Round 3</t>
  </si>
  <si>
    <t>Round 4</t>
  </si>
  <si>
    <t>Round 5</t>
  </si>
  <si>
    <t>Round 6</t>
  </si>
  <si>
    <t>MD V (10), XD V (2), XD A (1)</t>
  </si>
  <si>
    <t>WD V (8), XD V (3), XD A (4), WD A (1)</t>
  </si>
  <si>
    <t>XD V (8), MS A (4), XD A (4), MS V (7)</t>
  </si>
  <si>
    <t>XD V (10), WS V (9), XD A (3), WS A (1)</t>
  </si>
  <si>
    <t>WD V (12), WS V (4), MD A (4), MS V (4), MD V (8), WS A (2), WD A (2)</t>
  </si>
  <si>
    <t>MD A (13), MD B (6), XD B (2), XD A (6), MS B (1)</t>
  </si>
  <si>
    <t>XD A (2), WD V (1), XD V (1), WD A (3), XD B (1), WD B (1)</t>
  </si>
  <si>
    <t>XD V (2), MD B (1), MS A (1), XD A (1)</t>
  </si>
  <si>
    <t>XD B (2), WD B (1), WD V (2), XD V (2), WS A (6), XD A (4)</t>
  </si>
  <si>
    <t>WD V (4), MS B (1), WD A (6), MD A (7), WS A (3), MD V (3), MS V (1), MS A (5), WS B (1), WD B (1), MD B (1), WS V (3), XD B (1)</t>
  </si>
  <si>
    <t>XD A (1), MD B (8), MS C (2), MD A (3), XD B (4), MS A (2)</t>
  </si>
  <si>
    <t>WD A (2), XD A (2), WD B (3), XD C (2), XD B (1), WD C (1), WD V (1)</t>
  </si>
  <si>
    <t>MS C (5), MS A (6), MS B (14), XD B (7), XD C (4), MD C (5), MD A (3), XD A (1)</t>
  </si>
  <si>
    <t>XD B (5), WD A (1), XD C (1), WS B (2), WS C (1), WS A (1)</t>
  </si>
  <si>
    <t>WD B (8), WS A (2), MS A (3), MD B (6), MS B (7), MD A (7), WS B (2), WD C (2), WS C (3), MD C (1), MS C (1), XD C (1), WD A (2), XD A (1)</t>
  </si>
  <si>
    <t>MD B (3), MD C (14), XD C (6), MS B (1)</t>
  </si>
  <si>
    <t>WD C (7), XD B (3), XD C (5), WS B (1)</t>
  </si>
  <si>
    <t>MS C (11), XD C (5), XD B (2), MD B (4)</t>
  </si>
  <si>
    <t>XD C (7), XD B (3), WS C (7), WS B (1)</t>
  </si>
  <si>
    <t>MD C (5), MS C (5), WD B (2), WD C (3), WS B (2), WS C (3), MD B (1)</t>
  </si>
  <si>
    <t>TIMESLOTS:</t>
  </si>
  <si>
    <t xml:space="preserve">Time slot 0:  | WS A - 1 | WS A - 1 | WS A - 1 | MD A - 1 | WD C - 1 | WD C - 1 |          |          |          |          |          |          | </t>
  </si>
  <si>
    <t xml:space="preserve">Time slot 1:  | MD V - 1 | MD V - 1 | WD V - 1 | WD V - 1 | WD V - 1 |          |          |          |          |          |          |          | </t>
  </si>
  <si>
    <t xml:space="preserve">Time slot 2:  | MS C - 1 | MS C - 1 | MS C - 1 |          |          |          |          |          |          |          |          |          | </t>
  </si>
  <si>
    <t xml:space="preserve">Time slot 3:  | XD B - 1 | XD B - 1 | XD B - 1 | XD B - 1 | XD B - 1 | XD B - 1 | XD B - 1 | XD B - 1 |          |          |          |          | </t>
  </si>
  <si>
    <t xml:space="preserve">Time slot 4:  | MS C - 1 | MS C - 1 | MS C - 1 | MS C - 1 |          |          |          |          |          |          |          |          | </t>
  </si>
  <si>
    <t xml:space="preserve">Time slot 5:  | XD A - 1 | XD A - 1 | XD A - 1 | XD A - 1 | XD A - 1 | XD A - 1 |          |          |          |          |          |          | </t>
  </si>
  <si>
    <t xml:space="preserve">Time slot 6:  | XD V - 1 | XD V - 1 | XD V - 1 | XD V - 1 | XD V - 1 |          |          |          |          |          |          |          | </t>
  </si>
  <si>
    <t xml:space="preserve">Time slot 7:  | MD B - 1 | MD B - 1 | MD B - 1 | MD B - 1 |          |          |          |          |          |          |          |          | </t>
  </si>
  <si>
    <t xml:space="preserve">Time slot 8:  | XD A - 2 | XD A - 2 | XD A - 2 | XD A - 2 |          |          |          |          |          |          |          |          | </t>
  </si>
  <si>
    <t xml:space="preserve">Time slot 9:  |          |          |          |          |          |          |          |          |          |          |          |          | </t>
  </si>
  <si>
    <t xml:space="preserve">Time slot 10:  | MS V - 1 | MS V - 1 | MS V - 1 | MS V - 1 | MD B - 2 | MD B - 2 | MD B - 2 | MD B - 2 | MD B - 2 | MD B - 2 | MD B - 2 | MD B - 2 | </t>
  </si>
  <si>
    <t xml:space="preserve">Time slot 11:  |          |          |          |          |          |          |          |          |          |          |          |          | </t>
  </si>
  <si>
    <t xml:space="preserve">Time slot 12:  |          |          |          |          |          |          |          |          |          |          |          |          | </t>
  </si>
  <si>
    <t xml:space="preserve">Time slot 13:  | WS V - 1 | WS V - 1 | WS V - 1 | MS A - 1 | MS A - 1 | MS A - 1 | MS A - 1 | MS A - 1 | MS A - 1 | MS A - 1 | MS C - 2 | MS C - 2 | </t>
  </si>
  <si>
    <t xml:space="preserve">Time slot 14:  |          |          |          |          |          |          |          |          |          |          |          |          | </t>
  </si>
  <si>
    <t xml:space="preserve">Time slot 15:  | MS A - 1 | MS A - 1 | MS A - 1 | MS A - 1 | MS A - 1 | MS A - 1 | MS C - 2 | MS C - 2 | MS C - 2 | MS C - 2 | MS C - 2 | MS C - 2 | </t>
  </si>
  <si>
    <t xml:space="preserve">Time slot 16:  |          |          |          |          |          |          |          |          |          |          |          |          | </t>
  </si>
  <si>
    <t xml:space="preserve">Time slot 17:  | XD V - 2 | XD V - 2 | XD V - 2 | XD V - 2 | MS B - 1 | MS B - 1 | MS B - 1 | MS B - 1 |          |          |          |          | </t>
  </si>
  <si>
    <t xml:space="preserve">Time slot 18:  | MS C - 3 | MS C - 3 | MS C - 3 | MS C - 3 |          |          |          |          |          |          |          |          | </t>
  </si>
  <si>
    <t xml:space="preserve">Time slot 19:  | MS A - 2 | MS A - 2 | MS A - 2 | MS A - 2 | MS A - 2 | MS A - 2 | MS A - 2 | MS A - 2 |          |          |          |          | </t>
  </si>
  <si>
    <t xml:space="preserve">Time slot 20:  | MS B - 2 | MS B - 2 |          |          |          |          |          |          |          |          |          |          | </t>
  </si>
  <si>
    <t xml:space="preserve">Time slot 21:  | MS B - 2 | MS B - 2 | MS B - 2 | MS B - 2 | MS B - 2 | MS B - 2 |          |          |          |          |          |          | </t>
  </si>
  <si>
    <t xml:space="preserve">Time slot 22:  | MD C - 1 | MD C - 1 | MD C - 1 | MD C - 1 | MD C - 1 | MD C - 1 |          |          |          |          |          |          | </t>
  </si>
  <si>
    <t xml:space="preserve">Time slot 23:  | MS V - 2 | MS V - 2 | MS V - 2 | MS V - 2 | WD V - 1 | WS B - 1 |          |          |          |          |          |          | </t>
  </si>
  <si>
    <t xml:space="preserve">Time slot 24:  | MS B - 3 | MS B - 3 | MS B - 3 | MS B - 3 |          |          |          |          |          |          |          |          | </t>
  </si>
  <si>
    <t xml:space="preserve">Time slot 25:  | MS A - 3 | MS A - 3 | MS A - 3 | MS A - 3 | MD C - 2 | MD C - 2 | MD C - 2 | MD C - 2 |          |          |          |          | </t>
  </si>
  <si>
    <t xml:space="preserve">Time slot 26:  | WS B - 2 | WS B - 2 | WS B - 2 | WS B - 2 |          |          |          |          |          |          |          |          | </t>
  </si>
  <si>
    <t xml:space="preserve">Time slot 27:  | WS V - 2 | WS V - 2 | WS V - 2 | WS C - 1 | WS C - 1 |          |          |          |          |          |          |          | </t>
  </si>
  <si>
    <t xml:space="preserve">Time slot 28:  | MD B - 3 | MD B - 3 | MD B - 3 | MD B - 3 |          |          |          |          |          |          |          |          | </t>
  </si>
  <si>
    <t xml:space="preserve">Time slot 29:  | WD A - 1 | WD A - 1 | WD A - 1 |          |          |          |          |          |          |          |          |          | </t>
  </si>
  <si>
    <t xml:space="preserve">Time slot 30:  | WS V - 2 | MD V - 2 | MD V - 2 | MD V - 2 | MD V - 2 |          |          |          |          |          |          |          | </t>
  </si>
  <si>
    <t xml:space="preserve">Time slot 31:  | XD C - 1 | XD C - 1 | XD C - 1 | XD C - 1 |          |          |          |          |          |          |          |          | </t>
  </si>
  <si>
    <t xml:space="preserve">Time slot 32:  | XD B - 2 | XD B - 2 | XD B - 2 | XD B - 2 |          |          |          |          |          |          |          |          | </t>
  </si>
  <si>
    <t xml:space="preserve">Time slot 33:  |          |          |          |          |          |          |          |          |          |          |          |          | </t>
  </si>
  <si>
    <t xml:space="preserve">Time slot 34:  | XD V - 3 | XD V - 3 | XD A - 3 | XD A - 3 | XD C - 2 | XD C - 2 |          |          |          |          |          |          | </t>
  </si>
  <si>
    <t xml:space="preserve">Time slot 35:  | XD B - 3 | XD B - 3 |          |          |          |          |          |          |          |          |          |          | </t>
  </si>
  <si>
    <t xml:space="preserve">Time slot 36:  |          |          |          |          |          |          |          |          |          |          |          |          | </t>
  </si>
  <si>
    <t xml:space="preserve">Time slot 37:  | XD V - 4 | XD A - 4 | XD C - 3 |          |          |          |          |          |          |          |          |          | </t>
  </si>
  <si>
    <t xml:space="preserve">Time slot 38:  | XD B - 4 |          |          |          |          |          |          |          |          |          |          |          | </t>
  </si>
  <si>
    <t xml:space="preserve">Time slot 39:  |          |          |          |          |          |          |          |          |          |          |          |          | </t>
  </si>
  <si>
    <t xml:space="preserve">Time slot 40:  |          |          |          |          |          |          |          |          |          |          |          |          | </t>
  </si>
  <si>
    <t xml:space="preserve">Time slot 41:  | MD A - 2 | MD A - 2 | WD A - 2 | WD A - 2 | MD C - 3 | MD C - 3 | WD C - 2 | WD C - 2 |          |          |          |          | </t>
  </si>
  <si>
    <t xml:space="preserve">Time slot 42:  | MS V - 3 | MS V - 3 | WS V - 3 | WS V - 3 |          |          |          |          |          |          |          |          | </t>
  </si>
  <si>
    <t xml:space="preserve">Time slot 43:  |          |          |          |          |          |          |          |          |          |          |          |          | </t>
  </si>
  <si>
    <t xml:space="preserve">Time slot 44:  | MS B - 4 | MS B - 4 | MD C - 4 |          |          |          |          |          |          |          |          |          | </t>
  </si>
  <si>
    <t xml:space="preserve">Time slot 45:  | MS V - 4 | MS A - 4 | MS A - 4 | WD A - 3 | WS C - 2 | WS C - 2 | WS C - 2 | WS C - 2 |          |          |          |          | </t>
  </si>
  <si>
    <t xml:space="preserve">Time slot 46:  | WD B - 1 | WD B - 1 |          |          |          |          |          |          |          |          |          |          | </t>
  </si>
  <si>
    <t xml:space="preserve">Time slot 47:  | MS B - 5 |          |          |          |          |          |          |          |          |          |          |          | </t>
  </si>
  <si>
    <t xml:space="preserve">Time slot 48:  | WD V - 2 | WD V - 2 | MS A - 5 | MS C - 4 | MS C - 4 | WS C - 3 | WS C - 3 |          |          |          |          |          | </t>
  </si>
  <si>
    <t xml:space="preserve">Time slot 49:  | WD B - 2 |          |          |          |          |          |          |          |          |          |          |          | </t>
  </si>
  <si>
    <t xml:space="preserve">Time slot 50:  | WS A - 2 | WS A - 2 |          |          |          |          |          |          |          |          |          |          | </t>
  </si>
  <si>
    <t xml:space="preserve">Time slot 51:  | MD V - 3 | MD V - 3 | WD V - 3 | MD B - 4 | MD B - 4 | WS C - 4 |          |          |          |          |          |          | </t>
  </si>
  <si>
    <t xml:space="preserve">Time slot 52:  |          |          |          |          |          |          |          |          |          |          |          |          | </t>
  </si>
  <si>
    <t xml:space="preserve">Time slot 53:  | WS B - 3 | WS B - 3 |          |          |          |          |          |          |          |          |          |          | </t>
  </si>
  <si>
    <t xml:space="preserve">Time slot 54:  | MD V - 4 | WS A - 3 | MD A - 3 | MS C - 5 |          |          |          |          |          |          |          |          | </t>
  </si>
  <si>
    <t xml:space="preserve">Time slot 55:  | WD C - 3 |          |          |          |          |          |          |          |          |          |          |          | </t>
  </si>
  <si>
    <t xml:space="preserve">Time slot 56:  | WS B - 4 |          |          |          |          |          |          |          |          |          |          |          | </t>
  </si>
  <si>
    <t>Time slot 57:  | WS V - 4 | MD B - 5 |          |          |          |          |          |          |          |          |          |          |</t>
  </si>
  <si>
    <t>MD V - 1</t>
  </si>
  <si>
    <t>WD B - 1</t>
  </si>
  <si>
    <t>MD A - 2</t>
  </si>
  <si>
    <t>MD V - 2</t>
  </si>
  <si>
    <t>WS C - 2</t>
  </si>
  <si>
    <t>MD B - 1</t>
  </si>
  <si>
    <t>XD A - 1</t>
  </si>
  <si>
    <t>XD V - 1</t>
  </si>
  <si>
    <t>MD B - 2</t>
  </si>
  <si>
    <t>MD V - 3</t>
  </si>
  <si>
    <t>MD V - 4</t>
  </si>
  <si>
    <t>XD B - 1</t>
  </si>
  <si>
    <t>XD A - 2</t>
  </si>
  <si>
    <t>XD B - 2</t>
  </si>
  <si>
    <t>XD B - 3</t>
  </si>
  <si>
    <t>MS C - 1</t>
  </si>
  <si>
    <t>XD V - 2</t>
  </si>
  <si>
    <t>XD B - 4</t>
  </si>
  <si>
    <t>MS C - 2</t>
  </si>
  <si>
    <t>XD V - 3</t>
  </si>
  <si>
    <t>MS A - 1</t>
  </si>
  <si>
    <t>MS B - 1</t>
  </si>
  <si>
    <t>XD V - 4</t>
  </si>
  <si>
    <t>WS C - 4</t>
  </si>
  <si>
    <t>MS B - 2</t>
  </si>
  <si>
    <t>MS A - 2</t>
  </si>
  <si>
    <t>WS V - 1</t>
  </si>
  <si>
    <t>WD A - 1</t>
  </si>
  <si>
    <t>MS B - 3</t>
  </si>
  <si>
    <t>MS A - 3</t>
  </si>
  <si>
    <t>WD A - 2</t>
  </si>
  <si>
    <t>MS B - 4</t>
  </si>
  <si>
    <t>MS V - 1</t>
  </si>
  <si>
    <t>WS B - 1</t>
  </si>
  <si>
    <t>WS A - 1</t>
  </si>
  <si>
    <t>WS B - 2</t>
  </si>
  <si>
    <t>WS A - 2</t>
  </si>
  <si>
    <t>MS V - 2</t>
  </si>
  <si>
    <t>WS B - 3</t>
  </si>
  <si>
    <t>MS V - 3</t>
  </si>
  <si>
    <t>WS B - 4</t>
  </si>
  <si>
    <t>MD B - 5</t>
  </si>
  <si>
    <t>MS V - 4</t>
  </si>
  <si>
    <t>WS C - 1</t>
  </si>
  <si>
    <t>WD V - 3</t>
  </si>
  <si>
    <t>WS V - 2</t>
  </si>
  <si>
    <t>WD C - 3</t>
  </si>
  <si>
    <t>WD A - 3</t>
  </si>
  <si>
    <t>WD V - 1</t>
  </si>
  <si>
    <t>WS C - 3</t>
  </si>
  <si>
    <t>WD V - 2</t>
  </si>
  <si>
    <t>WS V - 4</t>
  </si>
  <si>
    <t>MD C - 2</t>
  </si>
  <si>
    <t>MD C - 4</t>
  </si>
  <si>
    <t>MS B - 5</t>
  </si>
  <si>
    <t>WS V - 3</t>
  </si>
  <si>
    <t>WS A - 3</t>
  </si>
  <si>
    <t>WD B - 2</t>
  </si>
  <si>
    <t>MD A - 3</t>
  </si>
  <si>
    <t>XD C - 3</t>
  </si>
  <si>
    <t>XD A - 3</t>
  </si>
  <si>
    <t>XD A - 4</t>
  </si>
  <si>
    <t>MS C - 3</t>
  </si>
  <si>
    <t>MS A - 5</t>
  </si>
  <si>
    <t>MD B - 4</t>
  </si>
  <si>
    <t>MD A - 1</t>
  </si>
  <si>
    <t>XD C - 1</t>
  </si>
  <si>
    <t>MS A - 4</t>
  </si>
  <si>
    <t>MS C - 5</t>
  </si>
  <si>
    <t>MD C - 1</t>
  </si>
  <si>
    <t>MD C - 3</t>
  </si>
  <si>
    <t>WD C - 1</t>
  </si>
  <si>
    <t>MD B - 3</t>
  </si>
  <si>
    <t>WD C - 2</t>
  </si>
  <si>
    <t>XD C - 2</t>
  </si>
  <si>
    <t>MS C - 4</t>
  </si>
  <si>
    <t>{'MS V': [('MD A', 4)], 'MD V': [('MS A', 4), ('XD A', 4)], 'XD V': [('MD A', 6), ('WD A', 5)], 'MS A': [('MD V', 4), ('MD B', 6)], 'MD A': [('XD V', 6), ('MS V', 4), ('MS B', 4), ('MD B', 5), ('XD B', 5)], 'WD A': [('XD B', 4), ('XD V', 5)], 'XD A': [('MD B', 3), ('MD V', 4)], 'MS B': [('MD A', 4)], 'MD B': [('MS A', 6), ('MD A', 5), ('MD C', 6), ('XD A', 3)], 'XD B': [('WD A', 4), ('MD A', 5)], 'MD C': [('MD B', 6)]}</t>
  </si>
  <si>
    <t>{'MS V': [('MD A', 4)], 'MD V': [('XD A', 4), ('MS A', 4)], 'XD V': [('MD A', 6), ('WD A', 5)], 'MS A': [('MD B', 6), ('MD V', 4)], 'MD A': [('MD B', 5), ('XD B', 5), ('XD V', 6), ('MS V', 4), ('MS B', 4)], 'WD A': [('XD B', 4), ('XD V', 5)], 'XD A': [('MD V', 4), ('MD B', 3)], 'MS B': [('MD A', 4)], 'MD B': [('MS A', 6), ('XD A', 3), ('MD A', 5), ('MD C', 6)], 'XD B': [('MD A', 5), ('WD A', 4)], 'MD C': [('MD B', 6)]}</t>
  </si>
  <si>
    <t>[1, 8, 3, 10, 3, 6, 5, 8, 5, 9, 6, 13, 6, 3, 8, 13, 8, 15, 8, 5, 8, 1, 8, 11, 9, 15, 9, 5, 10, 3, 10, 13, 11, 8, 13, 6, 13, 10, 13, 8, 13, 18, 15, 8, 15, 9, 18, 13]</t>
  </si>
  <si>
    <t>[1, 8, 3, 6, 3, 10, 5, 8, 5, 9, 6, 13, 8, 13, 8, 11, 8, 15, 9, 15, 10, 13, 13, 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</si>
</sst>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E69138"/>
      <name val="Arial"/>
      <family val="2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0CAF9"/>
        <bgColor rgb="FF90CAF9"/>
      </patternFill>
    </fill>
    <fill>
      <patternFill patternType="solid">
        <fgColor rgb="FF64B5F6"/>
        <bgColor rgb="FF64B5F6"/>
      </patternFill>
    </fill>
    <fill>
      <patternFill patternType="solid">
        <fgColor rgb="FFA5D6A7"/>
        <bgColor rgb="FFA5D6A7"/>
      </patternFill>
    </fill>
    <fill>
      <patternFill patternType="solid">
        <fgColor rgb="FFFFE082"/>
        <bgColor rgb="FFFFE082"/>
      </patternFill>
    </fill>
    <fill>
      <patternFill patternType="solid">
        <fgColor rgb="FFF06292"/>
        <bgColor rgb="FFF06292"/>
      </patternFill>
    </fill>
    <fill>
      <patternFill patternType="solid">
        <fgColor rgb="FFFFECB3"/>
        <bgColor rgb="FFFFECB3"/>
      </patternFill>
    </fill>
    <fill>
      <patternFill patternType="solid">
        <fgColor rgb="FFF48FB1"/>
        <bgColor rgb="FFF48FB1"/>
      </patternFill>
    </fill>
    <fill>
      <patternFill patternType="solid">
        <fgColor rgb="FF66BB6A"/>
        <bgColor rgb="FF66BB6A"/>
      </patternFill>
    </fill>
    <fill>
      <patternFill patternType="solid">
        <fgColor rgb="FF42A5F5"/>
        <bgColor rgb="FF42A5F5"/>
      </patternFill>
    </fill>
    <fill>
      <patternFill patternType="solid">
        <fgColor rgb="FFFFCA28"/>
        <bgColor rgb="FFFFCA28"/>
      </patternFill>
    </fill>
    <fill>
      <patternFill patternType="solid">
        <fgColor rgb="FFEC407A"/>
        <bgColor rgb="FFEC407A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FDE0E0"/>
        <bgColor rgb="FFFDE0E0"/>
      </patternFill>
    </fill>
    <fill>
      <patternFill patternType="solid">
        <fgColor rgb="FFBBDEFB"/>
        <bgColor rgb="FFBBDEFB"/>
      </patternFill>
    </fill>
    <fill>
      <patternFill patternType="solid">
        <fgColor rgb="FF81C784"/>
        <bgColor rgb="FF81C784"/>
      </patternFill>
    </fill>
    <fill>
      <patternFill patternType="solid">
        <fgColor rgb="FFE3F2FD"/>
        <bgColor rgb="FFE3F2FD"/>
      </patternFill>
    </fill>
    <fill>
      <patternFill patternType="solid">
        <fgColor rgb="FFF8BBD0"/>
        <bgColor rgb="FFF8BBD0"/>
      </patternFill>
    </fill>
    <fill>
      <patternFill patternType="solid">
        <fgColor rgb="FFC8E6C9"/>
        <bgColor rgb="FFC8E6C9"/>
      </patternFill>
    </fill>
    <fill>
      <patternFill patternType="solid">
        <fgColor rgb="FFFFD54F"/>
        <bgColor rgb="FFFFD54F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5999938962981048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20" fontId="1" fillId="0" borderId="0" xfId="0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9" borderId="0" xfId="0" applyFill="1"/>
    <xf numFmtId="0" fontId="0" fillId="7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6" borderId="0" xfId="0" applyFill="1"/>
    <xf numFmtId="0" fontId="0" fillId="24" borderId="0" xfId="0" applyFill="1"/>
    <xf numFmtId="0" fontId="0" fillId="8" borderId="0" xfId="0" applyFill="1"/>
    <xf numFmtId="0" fontId="0" fillId="14" borderId="0" xfId="0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2"/>
  <sheetViews>
    <sheetView topLeftCell="A1409" zoomScale="75" workbookViewId="0">
      <selection activeCell="H1431" sqref="H1431"/>
    </sheetView>
  </sheetViews>
  <sheetFormatPr baseColWidth="10" defaultColWidth="11" defaultRowHeight="16" x14ac:dyDescent="0.2"/>
  <cols>
    <col min="1" max="1" width="24" bestFit="1" customWidth="1"/>
    <col min="2" max="2" width="7.6640625" customWidth="1"/>
    <col min="3" max="3" width="29.6640625" bestFit="1" customWidth="1"/>
    <col min="4" max="4" width="33.5" bestFit="1" customWidth="1"/>
  </cols>
  <sheetData>
    <row r="1" spans="1:4" x14ac:dyDescent="0.2">
      <c r="A1" s="1" t="s">
        <v>0</v>
      </c>
    </row>
    <row r="2" spans="1:4" x14ac:dyDescent="0.2">
      <c r="C2" s="1" t="s">
        <v>1</v>
      </c>
      <c r="D2" s="1" t="s">
        <v>2</v>
      </c>
    </row>
    <row r="3" spans="1:4" x14ac:dyDescent="0.2">
      <c r="B3" s="1">
        <v>1</v>
      </c>
      <c r="C3" s="1" t="s">
        <v>3</v>
      </c>
      <c r="D3" s="1" t="s">
        <v>4</v>
      </c>
    </row>
    <row r="4" spans="1:4" x14ac:dyDescent="0.2">
      <c r="D4" s="1" t="s">
        <v>5</v>
      </c>
    </row>
    <row r="5" spans="1:4" x14ac:dyDescent="0.2">
      <c r="B5" s="1">
        <v>2</v>
      </c>
      <c r="C5" s="1" t="s">
        <v>6</v>
      </c>
      <c r="D5" s="1" t="s">
        <v>7</v>
      </c>
    </row>
    <row r="6" spans="1:4" x14ac:dyDescent="0.2">
      <c r="D6" s="1" t="s">
        <v>4</v>
      </c>
    </row>
    <row r="7" spans="1:4" x14ac:dyDescent="0.2">
      <c r="B7" s="1">
        <v>3</v>
      </c>
      <c r="C7" s="1" t="s">
        <v>8</v>
      </c>
      <c r="D7" s="1" t="s">
        <v>4</v>
      </c>
    </row>
    <row r="8" spans="1:4" x14ac:dyDescent="0.2">
      <c r="D8" s="1" t="s">
        <v>9</v>
      </c>
    </row>
    <row r="9" spans="1:4" x14ac:dyDescent="0.2">
      <c r="D9" s="1" t="s">
        <v>10</v>
      </c>
    </row>
    <row r="10" spans="1:4" x14ac:dyDescent="0.2">
      <c r="B10" s="1">
        <v>4</v>
      </c>
      <c r="C10" s="1" t="s">
        <v>11</v>
      </c>
      <c r="D10" s="1" t="s">
        <v>4</v>
      </c>
    </row>
    <row r="11" spans="1:4" x14ac:dyDescent="0.2">
      <c r="B11" s="1">
        <v>5</v>
      </c>
      <c r="C11" s="1" t="s">
        <v>12</v>
      </c>
      <c r="D11" s="1" t="s">
        <v>4</v>
      </c>
    </row>
    <row r="12" spans="1:4" x14ac:dyDescent="0.2">
      <c r="D12" s="1" t="s">
        <v>13</v>
      </c>
    </row>
    <row r="13" spans="1:4" x14ac:dyDescent="0.2">
      <c r="B13" s="1">
        <v>6</v>
      </c>
      <c r="C13" s="1" t="s">
        <v>14</v>
      </c>
      <c r="D13" s="1" t="s">
        <v>15</v>
      </c>
    </row>
    <row r="14" spans="1:4" x14ac:dyDescent="0.2">
      <c r="D14" s="1" t="s">
        <v>4</v>
      </c>
    </row>
    <row r="15" spans="1:4" x14ac:dyDescent="0.2">
      <c r="D15" s="1" t="s">
        <v>16</v>
      </c>
    </row>
    <row r="16" spans="1:4" x14ac:dyDescent="0.2">
      <c r="B16" s="1">
        <v>7</v>
      </c>
      <c r="C16" s="1" t="s">
        <v>17</v>
      </c>
      <c r="D16" s="1" t="s">
        <v>4</v>
      </c>
    </row>
    <row r="17" spans="2:4" x14ac:dyDescent="0.2">
      <c r="D17" s="1" t="s">
        <v>18</v>
      </c>
    </row>
    <row r="18" spans="2:4" x14ac:dyDescent="0.2">
      <c r="B18" s="1">
        <v>8</v>
      </c>
      <c r="C18" s="1" t="s">
        <v>19</v>
      </c>
      <c r="D18" s="1" t="s">
        <v>4</v>
      </c>
    </row>
    <row r="19" spans="2:4" x14ac:dyDescent="0.2">
      <c r="D19" s="1" t="s">
        <v>20</v>
      </c>
    </row>
    <row r="20" spans="2:4" x14ac:dyDescent="0.2">
      <c r="B20" s="1">
        <v>9</v>
      </c>
      <c r="C20" s="1" t="s">
        <v>21</v>
      </c>
      <c r="D20" s="1" t="s">
        <v>4</v>
      </c>
    </row>
    <row r="21" spans="2:4" x14ac:dyDescent="0.2">
      <c r="B21" s="1">
        <v>10</v>
      </c>
      <c r="C21" s="1" t="s">
        <v>22</v>
      </c>
      <c r="D21" s="1" t="s">
        <v>4</v>
      </c>
    </row>
    <row r="22" spans="2:4" x14ac:dyDescent="0.2">
      <c r="D22" s="1" t="s">
        <v>23</v>
      </c>
    </row>
    <row r="23" spans="2:4" x14ac:dyDescent="0.2">
      <c r="B23" s="1">
        <v>11</v>
      </c>
      <c r="C23" s="1" t="s">
        <v>24</v>
      </c>
      <c r="D23" s="1" t="s">
        <v>25</v>
      </c>
    </row>
    <row r="24" spans="2:4" x14ac:dyDescent="0.2">
      <c r="D24" s="1" t="s">
        <v>4</v>
      </c>
    </row>
    <row r="25" spans="2:4" x14ac:dyDescent="0.2">
      <c r="B25" s="1">
        <v>12</v>
      </c>
      <c r="C25" s="1" t="s">
        <v>26</v>
      </c>
      <c r="D25" s="1" t="s">
        <v>27</v>
      </c>
    </row>
    <row r="26" spans="2:4" x14ac:dyDescent="0.2">
      <c r="D26" s="1" t="s">
        <v>28</v>
      </c>
    </row>
    <row r="27" spans="2:4" x14ac:dyDescent="0.2">
      <c r="D27" s="1" t="s">
        <v>4</v>
      </c>
    </row>
    <row r="28" spans="2:4" x14ac:dyDescent="0.2">
      <c r="B28" s="1"/>
      <c r="C28" s="1"/>
      <c r="D28" s="1"/>
    </row>
    <row r="29" spans="2:4" x14ac:dyDescent="0.2">
      <c r="B29" s="1"/>
      <c r="C29" s="1"/>
      <c r="D29" s="1"/>
    </row>
    <row r="30" spans="2:4" x14ac:dyDescent="0.2">
      <c r="D30" s="1"/>
    </row>
    <row r="31" spans="2:4" x14ac:dyDescent="0.2">
      <c r="D31" s="1"/>
    </row>
    <row r="32" spans="2:4" x14ac:dyDescent="0.2">
      <c r="B32" s="1"/>
      <c r="C32" s="1"/>
      <c r="D32" s="1"/>
    </row>
    <row r="33" spans="1:4" x14ac:dyDescent="0.2">
      <c r="D33" s="1"/>
    </row>
    <row r="34" spans="1:4" x14ac:dyDescent="0.2">
      <c r="B34" s="1"/>
      <c r="C34" s="1"/>
      <c r="D34" s="1"/>
    </row>
    <row r="35" spans="1:4" x14ac:dyDescent="0.2">
      <c r="B35" s="1"/>
      <c r="C35" s="1"/>
      <c r="D35" s="1"/>
    </row>
    <row r="36" spans="1:4" x14ac:dyDescent="0.2">
      <c r="B36" s="1"/>
      <c r="C36" s="1"/>
      <c r="D36" s="1"/>
    </row>
    <row r="37" spans="1:4" x14ac:dyDescent="0.2">
      <c r="D37" s="1"/>
    </row>
    <row r="38" spans="1:4" x14ac:dyDescent="0.2">
      <c r="B38" s="1"/>
      <c r="C38" s="1"/>
      <c r="D38" s="1"/>
    </row>
    <row r="39" spans="1:4" x14ac:dyDescent="0.2">
      <c r="D39" s="1"/>
    </row>
    <row r="40" spans="1:4" x14ac:dyDescent="0.2">
      <c r="B40" s="1"/>
      <c r="C40" s="1"/>
      <c r="D40" s="1"/>
    </row>
    <row r="41" spans="1:4" x14ac:dyDescent="0.2">
      <c r="D41" s="1"/>
    </row>
    <row r="42" spans="1:4" x14ac:dyDescent="0.2">
      <c r="B42" s="1"/>
      <c r="C42" s="1"/>
      <c r="D42" s="1"/>
    </row>
    <row r="43" spans="1:4" x14ac:dyDescent="0.2">
      <c r="D43" s="1"/>
    </row>
    <row r="44" spans="1:4" x14ac:dyDescent="0.2">
      <c r="B44" s="1"/>
      <c r="C44" s="1"/>
      <c r="D44" s="1"/>
    </row>
    <row r="45" spans="1:4" x14ac:dyDescent="0.2">
      <c r="D45" s="1" t="s">
        <v>4</v>
      </c>
    </row>
    <row r="46" spans="1:4" x14ac:dyDescent="0.2">
      <c r="A46" s="1" t="s">
        <v>29</v>
      </c>
    </row>
    <row r="47" spans="1:4" x14ac:dyDescent="0.2">
      <c r="C47" s="1" t="s">
        <v>1</v>
      </c>
      <c r="D47" s="1" t="s">
        <v>2</v>
      </c>
    </row>
    <row r="48" spans="1:4" x14ac:dyDescent="0.2">
      <c r="B48" s="1">
        <v>1</v>
      </c>
      <c r="C48" s="1" t="s">
        <v>30</v>
      </c>
      <c r="D48" s="1" t="s">
        <v>31</v>
      </c>
    </row>
    <row r="49" spans="2:4" x14ac:dyDescent="0.2">
      <c r="D49" s="1" t="s">
        <v>32</v>
      </c>
    </row>
    <row r="50" spans="2:4" x14ac:dyDescent="0.2">
      <c r="B50" s="1">
        <v>2</v>
      </c>
      <c r="C50" s="1" t="s">
        <v>33</v>
      </c>
      <c r="D50" s="1" t="s">
        <v>31</v>
      </c>
    </row>
    <row r="51" spans="2:4" x14ac:dyDescent="0.2">
      <c r="D51" s="1" t="s">
        <v>34</v>
      </c>
    </row>
    <row r="52" spans="2:4" x14ac:dyDescent="0.2">
      <c r="D52" s="1" t="s">
        <v>35</v>
      </c>
    </row>
    <row r="53" spans="2:4" x14ac:dyDescent="0.2">
      <c r="B53" s="1">
        <v>3</v>
      </c>
      <c r="C53" s="1" t="s">
        <v>36</v>
      </c>
      <c r="D53" s="1" t="s">
        <v>31</v>
      </c>
    </row>
    <row r="54" spans="2:4" x14ac:dyDescent="0.2">
      <c r="D54" s="1" t="s">
        <v>37</v>
      </c>
    </row>
    <row r="55" spans="2:4" x14ac:dyDescent="0.2">
      <c r="D55" s="1" t="s">
        <v>38</v>
      </c>
    </row>
    <row r="56" spans="2:4" x14ac:dyDescent="0.2">
      <c r="B56" s="1">
        <v>4</v>
      </c>
      <c r="C56" s="1" t="s">
        <v>39</v>
      </c>
      <c r="D56" s="1" t="s">
        <v>40</v>
      </c>
    </row>
    <row r="57" spans="2:4" x14ac:dyDescent="0.2">
      <c r="D57" s="1" t="s">
        <v>31</v>
      </c>
    </row>
    <row r="58" spans="2:4" x14ac:dyDescent="0.2">
      <c r="B58" s="1">
        <v>5</v>
      </c>
      <c r="C58" s="1" t="s">
        <v>41</v>
      </c>
      <c r="D58" s="1" t="s">
        <v>42</v>
      </c>
    </row>
    <row r="59" spans="2:4" x14ac:dyDescent="0.2">
      <c r="D59" s="1" t="s">
        <v>43</v>
      </c>
    </row>
    <row r="60" spans="2:4" x14ac:dyDescent="0.2">
      <c r="D60" s="1" t="s">
        <v>31</v>
      </c>
    </row>
    <row r="61" spans="2:4" x14ac:dyDescent="0.2">
      <c r="B61" s="1">
        <v>6</v>
      </c>
      <c r="C61" s="1" t="s">
        <v>44</v>
      </c>
      <c r="D61" s="1" t="s">
        <v>31</v>
      </c>
    </row>
    <row r="62" spans="2:4" x14ac:dyDescent="0.2">
      <c r="D62" s="1" t="s">
        <v>45</v>
      </c>
    </row>
    <row r="63" spans="2:4" x14ac:dyDescent="0.2">
      <c r="B63" s="1">
        <v>7</v>
      </c>
      <c r="C63" s="1" t="s">
        <v>46</v>
      </c>
      <c r="D63" s="1" t="s">
        <v>47</v>
      </c>
    </row>
    <row r="64" spans="2:4" x14ac:dyDescent="0.2">
      <c r="D64" s="1" t="s">
        <v>31</v>
      </c>
    </row>
    <row r="65" spans="2:4" x14ac:dyDescent="0.2">
      <c r="D65" s="1" t="s">
        <v>48</v>
      </c>
    </row>
    <row r="66" spans="2:4" x14ac:dyDescent="0.2">
      <c r="B66" s="1">
        <v>8</v>
      </c>
      <c r="C66" s="1" t="s">
        <v>49</v>
      </c>
      <c r="D66" s="1" t="s">
        <v>31</v>
      </c>
    </row>
    <row r="67" spans="2:4" x14ac:dyDescent="0.2">
      <c r="D67" s="1" t="s">
        <v>50</v>
      </c>
    </row>
    <row r="68" spans="2:4" x14ac:dyDescent="0.2">
      <c r="D68" s="1" t="s">
        <v>51</v>
      </c>
    </row>
    <row r="69" spans="2:4" x14ac:dyDescent="0.2">
      <c r="B69" s="1">
        <v>9</v>
      </c>
      <c r="C69" s="1" t="s">
        <v>52</v>
      </c>
      <c r="D69" s="1" t="s">
        <v>53</v>
      </c>
    </row>
    <row r="70" spans="2:4" x14ac:dyDescent="0.2">
      <c r="D70" s="1" t="s">
        <v>31</v>
      </c>
    </row>
    <row r="71" spans="2:4" x14ac:dyDescent="0.2">
      <c r="D71" s="1" t="s">
        <v>54</v>
      </c>
    </row>
    <row r="72" spans="2:4" x14ac:dyDescent="0.2">
      <c r="B72" s="1">
        <v>10</v>
      </c>
      <c r="C72" s="1" t="s">
        <v>55</v>
      </c>
      <c r="D72" s="1" t="s">
        <v>31</v>
      </c>
    </row>
    <row r="73" spans="2:4" x14ac:dyDescent="0.2">
      <c r="B73" s="1">
        <v>11</v>
      </c>
      <c r="C73" s="1" t="s">
        <v>56</v>
      </c>
      <c r="D73" s="1" t="s">
        <v>31</v>
      </c>
    </row>
    <row r="74" spans="2:4" x14ac:dyDescent="0.2">
      <c r="D74" s="1" t="s">
        <v>57</v>
      </c>
    </row>
    <row r="75" spans="2:4" x14ac:dyDescent="0.2">
      <c r="B75" s="1"/>
      <c r="C75" s="1"/>
      <c r="D75" s="1"/>
    </row>
    <row r="76" spans="2:4" x14ac:dyDescent="0.2">
      <c r="D76" s="1"/>
    </row>
    <row r="77" spans="2:4" x14ac:dyDescent="0.2">
      <c r="B77" s="1"/>
      <c r="C77" s="1"/>
      <c r="D77" s="1"/>
    </row>
    <row r="78" spans="2:4" x14ac:dyDescent="0.2">
      <c r="D78" s="1"/>
    </row>
    <row r="79" spans="2:4" x14ac:dyDescent="0.2">
      <c r="D79" s="1"/>
    </row>
    <row r="80" spans="2:4" x14ac:dyDescent="0.2">
      <c r="B80" s="1"/>
      <c r="C80" s="1"/>
      <c r="D80" s="1"/>
    </row>
    <row r="81" spans="1:4" x14ac:dyDescent="0.2">
      <c r="D81" s="1"/>
    </row>
    <row r="82" spans="1:4" x14ac:dyDescent="0.2">
      <c r="D82" s="1"/>
    </row>
    <row r="83" spans="1:4" x14ac:dyDescent="0.2">
      <c r="B83" s="1"/>
      <c r="C83" s="1"/>
      <c r="D83" s="1"/>
    </row>
    <row r="84" spans="1:4" x14ac:dyDescent="0.2">
      <c r="B84" s="1"/>
      <c r="C84" s="1"/>
      <c r="D84" s="1"/>
    </row>
    <row r="85" spans="1:4" x14ac:dyDescent="0.2">
      <c r="B85" s="1"/>
      <c r="C85" s="1"/>
      <c r="D85" s="1"/>
    </row>
    <row r="86" spans="1:4" x14ac:dyDescent="0.2">
      <c r="D86" s="1"/>
    </row>
    <row r="87" spans="1:4" x14ac:dyDescent="0.2">
      <c r="D87" s="1"/>
    </row>
    <row r="88" spans="1:4" x14ac:dyDescent="0.2">
      <c r="B88" s="1"/>
      <c r="C88" s="1"/>
      <c r="D88" s="1"/>
    </row>
    <row r="89" spans="1:4" x14ac:dyDescent="0.2">
      <c r="D89" s="1" t="s">
        <v>31</v>
      </c>
    </row>
    <row r="90" spans="1:4" x14ac:dyDescent="0.2">
      <c r="A90" s="1" t="s">
        <v>58</v>
      </c>
    </row>
    <row r="91" spans="1:4" x14ac:dyDescent="0.2">
      <c r="C91" s="1" t="s">
        <v>1</v>
      </c>
      <c r="D91" s="1" t="s">
        <v>2</v>
      </c>
    </row>
    <row r="92" spans="1:4" x14ac:dyDescent="0.2">
      <c r="B92" s="1">
        <v>1</v>
      </c>
      <c r="C92" s="1" t="s">
        <v>3</v>
      </c>
      <c r="D92" s="1" t="s">
        <v>4</v>
      </c>
    </row>
    <row r="93" spans="1:4" x14ac:dyDescent="0.2">
      <c r="D93" s="1" t="s">
        <v>5</v>
      </c>
    </row>
    <row r="94" spans="1:4" x14ac:dyDescent="0.2">
      <c r="C94" s="1" t="s">
        <v>59</v>
      </c>
      <c r="D94" s="1" t="s">
        <v>60</v>
      </c>
    </row>
    <row r="95" spans="1:4" x14ac:dyDescent="0.2">
      <c r="D95" s="1" t="s">
        <v>4</v>
      </c>
    </row>
    <row r="96" spans="1:4" x14ac:dyDescent="0.2">
      <c r="D96" s="1" t="s">
        <v>61</v>
      </c>
    </row>
    <row r="97" spans="2:4" x14ac:dyDescent="0.2">
      <c r="B97" s="1">
        <v>2</v>
      </c>
      <c r="C97" s="1" t="s">
        <v>6</v>
      </c>
      <c r="D97" s="1" t="s">
        <v>7</v>
      </c>
    </row>
    <row r="98" spans="2:4" x14ac:dyDescent="0.2">
      <c r="D98" s="1" t="s">
        <v>4</v>
      </c>
    </row>
    <row r="99" spans="2:4" x14ac:dyDescent="0.2">
      <c r="C99" s="1" t="s">
        <v>24</v>
      </c>
      <c r="D99" s="1" t="s">
        <v>25</v>
      </c>
    </row>
    <row r="100" spans="2:4" x14ac:dyDescent="0.2">
      <c r="D100" s="1" t="s">
        <v>4</v>
      </c>
    </row>
    <row r="101" spans="2:4" x14ac:dyDescent="0.2">
      <c r="B101" s="1">
        <v>3</v>
      </c>
      <c r="C101" s="1" t="s">
        <v>62</v>
      </c>
      <c r="D101" s="1" t="s">
        <v>63</v>
      </c>
    </row>
    <row r="102" spans="2:4" x14ac:dyDescent="0.2">
      <c r="C102" s="1" t="s">
        <v>64</v>
      </c>
      <c r="D102" s="1" t="s">
        <v>65</v>
      </c>
    </row>
    <row r="103" spans="2:4" x14ac:dyDescent="0.2">
      <c r="D103" s="1" t="s">
        <v>66</v>
      </c>
    </row>
    <row r="104" spans="2:4" x14ac:dyDescent="0.2">
      <c r="D104" s="1" t="s">
        <v>67</v>
      </c>
    </row>
    <row r="105" spans="2:4" x14ac:dyDescent="0.2">
      <c r="B105" s="1">
        <v>4</v>
      </c>
      <c r="C105" s="1" t="s">
        <v>68</v>
      </c>
      <c r="D105" s="1" t="s">
        <v>69</v>
      </c>
    </row>
    <row r="106" spans="2:4" x14ac:dyDescent="0.2">
      <c r="C106" s="1" t="s">
        <v>70</v>
      </c>
      <c r="D106" s="1" t="s">
        <v>71</v>
      </c>
    </row>
    <row r="107" spans="2:4" x14ac:dyDescent="0.2">
      <c r="D107" s="1" t="s">
        <v>72</v>
      </c>
    </row>
    <row r="108" spans="2:4" x14ac:dyDescent="0.2">
      <c r="B108" s="1">
        <v>5</v>
      </c>
      <c r="C108" s="1" t="s">
        <v>8</v>
      </c>
      <c r="D108" s="1" t="s">
        <v>4</v>
      </c>
    </row>
    <row r="109" spans="2:4" x14ac:dyDescent="0.2">
      <c r="D109" s="1" t="s">
        <v>9</v>
      </c>
    </row>
    <row r="110" spans="2:4" x14ac:dyDescent="0.2">
      <c r="D110" s="1" t="s">
        <v>10</v>
      </c>
    </row>
    <row r="111" spans="2:4" x14ac:dyDescent="0.2">
      <c r="C111" s="1" t="s">
        <v>73</v>
      </c>
      <c r="D111" s="1" t="s">
        <v>74</v>
      </c>
    </row>
    <row r="112" spans="2:4" x14ac:dyDescent="0.2">
      <c r="D112" s="1" t="s">
        <v>75</v>
      </c>
    </row>
    <row r="113" spans="2:4" x14ac:dyDescent="0.2">
      <c r="D113" s="1" t="s">
        <v>76</v>
      </c>
    </row>
    <row r="114" spans="2:4" x14ac:dyDescent="0.2">
      <c r="B114" s="1">
        <v>6</v>
      </c>
      <c r="C114" s="1" t="s">
        <v>77</v>
      </c>
      <c r="D114" s="1" t="s">
        <v>78</v>
      </c>
    </row>
    <row r="115" spans="2:4" x14ac:dyDescent="0.2">
      <c r="D115" s="1" t="s">
        <v>79</v>
      </c>
    </row>
    <row r="116" spans="2:4" x14ac:dyDescent="0.2">
      <c r="C116" s="1" t="s">
        <v>80</v>
      </c>
      <c r="D116" s="1" t="s">
        <v>81</v>
      </c>
    </row>
    <row r="117" spans="2:4" x14ac:dyDescent="0.2">
      <c r="B117" s="1">
        <v>7</v>
      </c>
      <c r="C117" s="1" t="s">
        <v>12</v>
      </c>
      <c r="D117" s="1" t="s">
        <v>4</v>
      </c>
    </row>
    <row r="118" spans="2:4" x14ac:dyDescent="0.2">
      <c r="D118" s="1" t="s">
        <v>13</v>
      </c>
    </row>
    <row r="119" spans="2:4" x14ac:dyDescent="0.2">
      <c r="C119" s="1" t="s">
        <v>82</v>
      </c>
      <c r="D119" s="1" t="s">
        <v>75</v>
      </c>
    </row>
    <row r="120" spans="2:4" x14ac:dyDescent="0.2">
      <c r="D120" s="1" t="s">
        <v>83</v>
      </c>
    </row>
    <row r="121" spans="2:4" x14ac:dyDescent="0.2">
      <c r="D121" s="1" t="s">
        <v>84</v>
      </c>
    </row>
    <row r="122" spans="2:4" x14ac:dyDescent="0.2">
      <c r="B122" s="1">
        <v>8</v>
      </c>
      <c r="C122" s="1" t="s">
        <v>85</v>
      </c>
      <c r="D122" s="1" t="s">
        <v>86</v>
      </c>
    </row>
    <row r="123" spans="2:4" x14ac:dyDescent="0.2">
      <c r="D123" s="1" t="s">
        <v>87</v>
      </c>
    </row>
    <row r="124" spans="2:4" x14ac:dyDescent="0.2">
      <c r="C124" s="1" t="s">
        <v>88</v>
      </c>
      <c r="D124" s="1" t="s">
        <v>89</v>
      </c>
    </row>
    <row r="125" spans="2:4" x14ac:dyDescent="0.2">
      <c r="D125" s="1" t="s">
        <v>90</v>
      </c>
    </row>
    <row r="126" spans="2:4" x14ac:dyDescent="0.2">
      <c r="B126" s="1">
        <v>9</v>
      </c>
      <c r="C126" s="1" t="s">
        <v>14</v>
      </c>
      <c r="D126" s="1" t="s">
        <v>15</v>
      </c>
    </row>
    <row r="127" spans="2:4" x14ac:dyDescent="0.2">
      <c r="D127" s="1" t="s">
        <v>4</v>
      </c>
    </row>
    <row r="128" spans="2:4" x14ac:dyDescent="0.2">
      <c r="D128" s="1" t="s">
        <v>16</v>
      </c>
    </row>
    <row r="129" spans="2:4" x14ac:dyDescent="0.2">
      <c r="C129" s="1" t="s">
        <v>91</v>
      </c>
      <c r="D129" s="1" t="s">
        <v>92</v>
      </c>
    </row>
    <row r="130" spans="2:4" x14ac:dyDescent="0.2">
      <c r="D130" s="1" t="s">
        <v>75</v>
      </c>
    </row>
    <row r="131" spans="2:4" x14ac:dyDescent="0.2">
      <c r="D131" s="1" t="s">
        <v>93</v>
      </c>
    </row>
    <row r="132" spans="2:4" x14ac:dyDescent="0.2">
      <c r="B132" s="1">
        <v>10</v>
      </c>
      <c r="C132" s="1" t="s">
        <v>94</v>
      </c>
      <c r="D132" s="1" t="s">
        <v>95</v>
      </c>
    </row>
    <row r="133" spans="2:4" x14ac:dyDescent="0.2">
      <c r="D133" s="1" t="s">
        <v>96</v>
      </c>
    </row>
    <row r="134" spans="2:4" x14ac:dyDescent="0.2">
      <c r="C134" s="1" t="s">
        <v>97</v>
      </c>
      <c r="D134" s="1" t="s">
        <v>75</v>
      </c>
    </row>
    <row r="135" spans="2:4" x14ac:dyDescent="0.2">
      <c r="D135" s="1" t="s">
        <v>98</v>
      </c>
    </row>
    <row r="136" spans="2:4" x14ac:dyDescent="0.2">
      <c r="B136" s="1"/>
      <c r="C136" s="1"/>
      <c r="D136" s="1"/>
    </row>
    <row r="137" spans="2:4" x14ac:dyDescent="0.2">
      <c r="D137" s="1"/>
    </row>
    <row r="138" spans="2:4" x14ac:dyDescent="0.2">
      <c r="C138" s="1"/>
      <c r="D138" s="1"/>
    </row>
    <row r="139" spans="2:4" x14ac:dyDescent="0.2">
      <c r="D139" s="1"/>
    </row>
    <row r="140" spans="2:4" x14ac:dyDescent="0.2">
      <c r="B140" s="1"/>
      <c r="C140" s="1"/>
      <c r="D140" s="1"/>
    </row>
    <row r="141" spans="2:4" x14ac:dyDescent="0.2">
      <c r="C141" s="1"/>
      <c r="D141" s="1"/>
    </row>
    <row r="142" spans="2:4" x14ac:dyDescent="0.2">
      <c r="D142" s="1"/>
    </row>
    <row r="143" spans="2:4" x14ac:dyDescent="0.2">
      <c r="B143" s="1"/>
      <c r="C143" s="1"/>
      <c r="D143" s="1"/>
    </row>
    <row r="144" spans="2:4" x14ac:dyDescent="0.2">
      <c r="D144" s="1"/>
    </row>
    <row r="145" spans="2:4" x14ac:dyDescent="0.2">
      <c r="C145" s="1"/>
      <c r="D145" s="1"/>
    </row>
    <row r="146" spans="2:4" x14ac:dyDescent="0.2">
      <c r="D146" s="1"/>
    </row>
    <row r="147" spans="2:4" x14ac:dyDescent="0.2">
      <c r="B147" s="1"/>
      <c r="C147" s="1"/>
      <c r="D147" s="1"/>
    </row>
    <row r="148" spans="2:4" x14ac:dyDescent="0.2">
      <c r="D148" s="1"/>
    </row>
    <row r="149" spans="2:4" x14ac:dyDescent="0.2">
      <c r="D149" s="1"/>
    </row>
    <row r="150" spans="2:4" x14ac:dyDescent="0.2">
      <c r="C150" s="1"/>
      <c r="D150" s="1"/>
    </row>
    <row r="151" spans="2:4" x14ac:dyDescent="0.2">
      <c r="D151" s="1"/>
    </row>
    <row r="152" spans="2:4" x14ac:dyDescent="0.2">
      <c r="B152" s="1"/>
      <c r="C152" s="1"/>
      <c r="D152" s="1"/>
    </row>
    <row r="153" spans="2:4" x14ac:dyDescent="0.2">
      <c r="C153" s="1"/>
      <c r="D153" s="1"/>
    </row>
    <row r="154" spans="2:4" x14ac:dyDescent="0.2">
      <c r="D154" s="1"/>
    </row>
    <row r="155" spans="2:4" x14ac:dyDescent="0.2">
      <c r="B155" s="1"/>
      <c r="C155" s="1"/>
      <c r="D155" s="1"/>
    </row>
    <row r="156" spans="2:4" x14ac:dyDescent="0.2">
      <c r="D156" s="1"/>
    </row>
    <row r="157" spans="2:4" x14ac:dyDescent="0.2">
      <c r="C157" s="1"/>
      <c r="D157" s="1"/>
    </row>
    <row r="158" spans="2:4" x14ac:dyDescent="0.2">
      <c r="D158" s="1"/>
    </row>
    <row r="159" spans="2:4" x14ac:dyDescent="0.2">
      <c r="B159" s="1"/>
      <c r="C159" s="1"/>
      <c r="D159" s="1"/>
    </row>
    <row r="160" spans="2:4" x14ac:dyDescent="0.2">
      <c r="C160" s="1"/>
      <c r="D160" s="1"/>
    </row>
    <row r="161" spans="1:4" x14ac:dyDescent="0.2">
      <c r="A161" s="1" t="s">
        <v>99</v>
      </c>
    </row>
    <row r="162" spans="1:4" x14ac:dyDescent="0.2">
      <c r="C162" s="1" t="s">
        <v>1</v>
      </c>
      <c r="D162" s="1" t="s">
        <v>2</v>
      </c>
    </row>
    <row r="163" spans="1:4" x14ac:dyDescent="0.2">
      <c r="B163" s="1">
        <v>1</v>
      </c>
      <c r="C163" s="1" t="s">
        <v>100</v>
      </c>
      <c r="D163" s="1" t="s">
        <v>4</v>
      </c>
    </row>
    <row r="164" spans="1:4" x14ac:dyDescent="0.2">
      <c r="D164" s="1" t="s">
        <v>101</v>
      </c>
    </row>
    <row r="166" spans="1:4" x14ac:dyDescent="0.2">
      <c r="A166" s="1" t="s">
        <v>102</v>
      </c>
    </row>
    <row r="167" spans="1:4" x14ac:dyDescent="0.2">
      <c r="C167" s="1" t="s">
        <v>1</v>
      </c>
      <c r="D167" s="1" t="s">
        <v>2</v>
      </c>
    </row>
    <row r="168" spans="1:4" x14ac:dyDescent="0.2">
      <c r="B168" s="1">
        <v>1</v>
      </c>
      <c r="C168" s="1" t="s">
        <v>103</v>
      </c>
      <c r="D168" s="1" t="s">
        <v>104</v>
      </c>
    </row>
    <row r="169" spans="1:4" x14ac:dyDescent="0.2">
      <c r="D169" s="1" t="s">
        <v>105</v>
      </c>
    </row>
    <row r="170" spans="1:4" x14ac:dyDescent="0.2">
      <c r="C170" s="1" t="s">
        <v>106</v>
      </c>
      <c r="D170" s="1" t="s">
        <v>31</v>
      </c>
    </row>
    <row r="171" spans="1:4" x14ac:dyDescent="0.2">
      <c r="D171" s="1" t="s">
        <v>107</v>
      </c>
    </row>
    <row r="172" spans="1:4" x14ac:dyDescent="0.2">
      <c r="D172" s="1" t="s">
        <v>108</v>
      </c>
    </row>
    <row r="173" spans="1:4" x14ac:dyDescent="0.2">
      <c r="B173" s="1">
        <v>2</v>
      </c>
      <c r="C173" s="1" t="s">
        <v>30</v>
      </c>
      <c r="D173" s="1" t="s">
        <v>31</v>
      </c>
    </row>
    <row r="174" spans="1:4" x14ac:dyDescent="0.2">
      <c r="D174" s="1" t="s">
        <v>32</v>
      </c>
    </row>
    <row r="175" spans="1:4" x14ac:dyDescent="0.2">
      <c r="C175" s="1" t="s">
        <v>52</v>
      </c>
      <c r="D175" s="1" t="s">
        <v>53</v>
      </c>
    </row>
    <row r="176" spans="1:4" x14ac:dyDescent="0.2">
      <c r="D176" s="1" t="s">
        <v>31</v>
      </c>
    </row>
    <row r="177" spans="2:4" x14ac:dyDescent="0.2">
      <c r="D177" s="1" t="s">
        <v>54</v>
      </c>
    </row>
    <row r="178" spans="2:4" x14ac:dyDescent="0.2">
      <c r="B178" s="1">
        <v>3</v>
      </c>
      <c r="C178" s="1" t="s">
        <v>33</v>
      </c>
      <c r="D178" s="1" t="s">
        <v>31</v>
      </c>
    </row>
    <row r="179" spans="2:4" x14ac:dyDescent="0.2">
      <c r="D179" s="1" t="s">
        <v>34</v>
      </c>
    </row>
    <row r="180" spans="2:4" x14ac:dyDescent="0.2">
      <c r="D180" s="1" t="s">
        <v>35</v>
      </c>
    </row>
    <row r="181" spans="2:4" x14ac:dyDescent="0.2">
      <c r="C181" s="1" t="s">
        <v>36</v>
      </c>
      <c r="D181" s="1" t="s">
        <v>31</v>
      </c>
    </row>
    <row r="182" spans="2:4" x14ac:dyDescent="0.2">
      <c r="D182" s="1" t="s">
        <v>37</v>
      </c>
    </row>
    <row r="183" spans="2:4" x14ac:dyDescent="0.2">
      <c r="D183" s="1" t="s">
        <v>38</v>
      </c>
    </row>
    <row r="184" spans="2:4" x14ac:dyDescent="0.2">
      <c r="B184" s="1">
        <v>4</v>
      </c>
      <c r="C184" s="1" t="s">
        <v>109</v>
      </c>
      <c r="D184" s="1" t="s">
        <v>110</v>
      </c>
    </row>
    <row r="185" spans="2:4" x14ac:dyDescent="0.2">
      <c r="D185" s="1" t="s">
        <v>111</v>
      </c>
    </row>
    <row r="186" spans="2:4" x14ac:dyDescent="0.2">
      <c r="C186" s="1" t="s">
        <v>112</v>
      </c>
      <c r="D186" s="1" t="s">
        <v>113</v>
      </c>
    </row>
    <row r="187" spans="2:4" x14ac:dyDescent="0.2">
      <c r="D187" s="1" t="s">
        <v>114</v>
      </c>
    </row>
    <row r="188" spans="2:4" x14ac:dyDescent="0.2">
      <c r="B188" s="1">
        <v>5</v>
      </c>
      <c r="C188" s="1" t="s">
        <v>39</v>
      </c>
      <c r="D188" s="1" t="s">
        <v>40</v>
      </c>
    </row>
    <row r="189" spans="2:4" x14ac:dyDescent="0.2">
      <c r="D189" s="1" t="s">
        <v>31</v>
      </c>
    </row>
    <row r="190" spans="2:4" x14ac:dyDescent="0.2">
      <c r="C190" s="1" t="s">
        <v>115</v>
      </c>
      <c r="D190" s="1" t="s">
        <v>116</v>
      </c>
    </row>
    <row r="191" spans="2:4" x14ac:dyDescent="0.2">
      <c r="D191" s="1" t="s">
        <v>31</v>
      </c>
    </row>
    <row r="192" spans="2:4" x14ac:dyDescent="0.2">
      <c r="D192" s="1" t="s">
        <v>117</v>
      </c>
    </row>
    <row r="193" spans="2:4" x14ac:dyDescent="0.2">
      <c r="B193" s="1">
        <v>6</v>
      </c>
      <c r="C193" s="1" t="s">
        <v>118</v>
      </c>
      <c r="D193" s="1" t="s">
        <v>119</v>
      </c>
    </row>
    <row r="194" spans="2:4" x14ac:dyDescent="0.2">
      <c r="C194" s="1" t="s">
        <v>120</v>
      </c>
      <c r="D194" s="1" t="s">
        <v>121</v>
      </c>
    </row>
    <row r="195" spans="2:4" x14ac:dyDescent="0.2">
      <c r="D195" s="1" t="s">
        <v>122</v>
      </c>
    </row>
    <row r="196" spans="2:4" x14ac:dyDescent="0.2">
      <c r="B196" s="1">
        <v>7</v>
      </c>
      <c r="C196" s="1" t="s">
        <v>123</v>
      </c>
      <c r="D196" s="1" t="s">
        <v>124</v>
      </c>
    </row>
    <row r="197" spans="2:4" x14ac:dyDescent="0.2">
      <c r="D197" s="1" t="s">
        <v>125</v>
      </c>
    </row>
    <row r="198" spans="2:4" x14ac:dyDescent="0.2">
      <c r="C198" s="1" t="s">
        <v>41</v>
      </c>
      <c r="D198" s="1" t="s">
        <v>42</v>
      </c>
    </row>
    <row r="199" spans="2:4" x14ac:dyDescent="0.2">
      <c r="D199" s="1" t="s">
        <v>43</v>
      </c>
    </row>
    <row r="200" spans="2:4" x14ac:dyDescent="0.2">
      <c r="D200" s="1" t="s">
        <v>31</v>
      </c>
    </row>
    <row r="201" spans="2:4" x14ac:dyDescent="0.2">
      <c r="B201" s="1">
        <v>8</v>
      </c>
      <c r="C201" s="1" t="s">
        <v>126</v>
      </c>
      <c r="D201" s="1" t="s">
        <v>127</v>
      </c>
    </row>
    <row r="202" spans="2:4" x14ac:dyDescent="0.2">
      <c r="D202" s="1" t="s">
        <v>128</v>
      </c>
    </row>
    <row r="203" spans="2:4" x14ac:dyDescent="0.2">
      <c r="D203" s="1" t="s">
        <v>129</v>
      </c>
    </row>
    <row r="204" spans="2:4" x14ac:dyDescent="0.2">
      <c r="C204" s="1" t="s">
        <v>46</v>
      </c>
      <c r="D204" s="1" t="s">
        <v>47</v>
      </c>
    </row>
    <row r="205" spans="2:4" x14ac:dyDescent="0.2">
      <c r="D205" s="1" t="s">
        <v>31</v>
      </c>
    </row>
    <row r="206" spans="2:4" x14ac:dyDescent="0.2">
      <c r="D206" s="1" t="s">
        <v>48</v>
      </c>
    </row>
    <row r="207" spans="2:4" x14ac:dyDescent="0.2">
      <c r="B207" s="1"/>
      <c r="C207" s="1"/>
      <c r="D207" s="1"/>
    </row>
    <row r="208" spans="2:4" x14ac:dyDescent="0.2">
      <c r="D208" s="1"/>
    </row>
    <row r="209" spans="1:4" x14ac:dyDescent="0.2">
      <c r="C209" s="1"/>
      <c r="D209" s="1"/>
    </row>
    <row r="210" spans="1:4" x14ac:dyDescent="0.2">
      <c r="D210" s="1"/>
    </row>
    <row r="211" spans="1:4" x14ac:dyDescent="0.2">
      <c r="B211" s="1"/>
      <c r="C211" s="1"/>
      <c r="D211" s="1"/>
    </row>
    <row r="212" spans="1:4" x14ac:dyDescent="0.2">
      <c r="D212" s="1"/>
    </row>
    <row r="213" spans="1:4" x14ac:dyDescent="0.2">
      <c r="D213" s="1"/>
    </row>
    <row r="214" spans="1:4" x14ac:dyDescent="0.2">
      <c r="C214" s="1"/>
      <c r="D214" s="1"/>
    </row>
    <row r="215" spans="1:4" x14ac:dyDescent="0.2">
      <c r="D215" s="1"/>
    </row>
    <row r="216" spans="1:4" x14ac:dyDescent="0.2">
      <c r="D216" s="1"/>
    </row>
    <row r="217" spans="1:4" x14ac:dyDescent="0.2">
      <c r="B217" s="1"/>
      <c r="C217" s="1"/>
      <c r="D217" s="1"/>
    </row>
    <row r="218" spans="1:4" x14ac:dyDescent="0.2">
      <c r="D218" s="1"/>
    </row>
    <row r="219" spans="1:4" x14ac:dyDescent="0.2">
      <c r="C219" s="1"/>
      <c r="D219" s="1"/>
    </row>
    <row r="220" spans="1:4" x14ac:dyDescent="0.2">
      <c r="D220" s="1"/>
    </row>
    <row r="221" spans="1:4" x14ac:dyDescent="0.2">
      <c r="A221" s="1" t="s">
        <v>130</v>
      </c>
    </row>
    <row r="222" spans="1:4" x14ac:dyDescent="0.2">
      <c r="C222" s="1" t="s">
        <v>1</v>
      </c>
      <c r="D222" s="1" t="s">
        <v>2</v>
      </c>
    </row>
    <row r="223" spans="1:4" x14ac:dyDescent="0.2">
      <c r="B223" s="1">
        <v>1</v>
      </c>
      <c r="C223" s="1" t="s">
        <v>131</v>
      </c>
      <c r="D223" s="1" t="s">
        <v>132</v>
      </c>
    </row>
    <row r="224" spans="1:4" x14ac:dyDescent="0.2">
      <c r="D224" s="1" t="s">
        <v>127</v>
      </c>
    </row>
    <row r="225" spans="1:4" x14ac:dyDescent="0.2">
      <c r="D225" s="1" t="s">
        <v>133</v>
      </c>
    </row>
    <row r="226" spans="1:4" x14ac:dyDescent="0.2">
      <c r="C226" s="1" t="s">
        <v>134</v>
      </c>
    </row>
    <row r="227" spans="1:4" x14ac:dyDescent="0.2">
      <c r="A227" s="1" t="s">
        <v>135</v>
      </c>
    </row>
    <row r="228" spans="1:4" x14ac:dyDescent="0.2">
      <c r="C228" s="1" t="s">
        <v>1</v>
      </c>
      <c r="D228" s="1" t="s">
        <v>2</v>
      </c>
    </row>
    <row r="229" spans="1:4" x14ac:dyDescent="0.2">
      <c r="B229" s="1">
        <v>1</v>
      </c>
      <c r="C229" s="1" t="s">
        <v>136</v>
      </c>
      <c r="D229" s="1" t="s">
        <v>137</v>
      </c>
    </row>
    <row r="230" spans="1:4" x14ac:dyDescent="0.2">
      <c r="D230" s="1" t="s">
        <v>138</v>
      </c>
    </row>
    <row r="231" spans="1:4" x14ac:dyDescent="0.2">
      <c r="C231" s="1" t="s">
        <v>139</v>
      </c>
      <c r="D231" s="1" t="s">
        <v>140</v>
      </c>
    </row>
    <row r="232" spans="1:4" x14ac:dyDescent="0.2">
      <c r="D232" s="1" t="s">
        <v>141</v>
      </c>
    </row>
    <row r="233" spans="1:4" x14ac:dyDescent="0.2">
      <c r="B233" s="1">
        <v>2</v>
      </c>
      <c r="C233" s="1" t="s">
        <v>142</v>
      </c>
      <c r="D233" s="1" t="s">
        <v>143</v>
      </c>
    </row>
    <row r="234" spans="1:4" x14ac:dyDescent="0.2">
      <c r="D234" s="1" t="s">
        <v>144</v>
      </c>
    </row>
    <row r="235" spans="1:4" x14ac:dyDescent="0.2">
      <c r="C235" s="1" t="s">
        <v>112</v>
      </c>
      <c r="D235" s="1" t="s">
        <v>113</v>
      </c>
    </row>
    <row r="236" spans="1:4" x14ac:dyDescent="0.2">
      <c r="D236" s="1" t="s">
        <v>114</v>
      </c>
    </row>
    <row r="237" spans="1:4" x14ac:dyDescent="0.2">
      <c r="B237" s="1">
        <v>3</v>
      </c>
      <c r="C237" s="1" t="s">
        <v>145</v>
      </c>
      <c r="D237" s="1" t="s">
        <v>146</v>
      </c>
    </row>
    <row r="238" spans="1:4" x14ac:dyDescent="0.2">
      <c r="D238" s="1" t="s">
        <v>147</v>
      </c>
    </row>
    <row r="239" spans="1:4" x14ac:dyDescent="0.2">
      <c r="C239" s="1" t="s">
        <v>109</v>
      </c>
      <c r="D239" s="1" t="s">
        <v>110</v>
      </c>
    </row>
    <row r="240" spans="1:4" x14ac:dyDescent="0.2">
      <c r="D240" s="1" t="s">
        <v>111</v>
      </c>
    </row>
    <row r="241" spans="2:4" x14ac:dyDescent="0.2">
      <c r="B241" s="1">
        <v>4</v>
      </c>
      <c r="C241" s="1" t="s">
        <v>8</v>
      </c>
      <c r="D241" s="1" t="s">
        <v>4</v>
      </c>
    </row>
    <row r="242" spans="2:4" x14ac:dyDescent="0.2">
      <c r="D242" s="1" t="s">
        <v>9</v>
      </c>
    </row>
    <row r="243" spans="2:4" x14ac:dyDescent="0.2">
      <c r="D243" s="1" t="s">
        <v>10</v>
      </c>
    </row>
    <row r="244" spans="2:4" x14ac:dyDescent="0.2">
      <c r="C244" s="1" t="s">
        <v>126</v>
      </c>
      <c r="D244" s="1" t="s">
        <v>127</v>
      </c>
    </row>
    <row r="245" spans="2:4" x14ac:dyDescent="0.2">
      <c r="D245" s="1" t="s">
        <v>128</v>
      </c>
    </row>
    <row r="246" spans="2:4" x14ac:dyDescent="0.2">
      <c r="D246" s="1" t="s">
        <v>129</v>
      </c>
    </row>
    <row r="247" spans="2:4" x14ac:dyDescent="0.2">
      <c r="B247" s="1">
        <v>5</v>
      </c>
      <c r="C247" s="1" t="s">
        <v>70</v>
      </c>
      <c r="D247" s="1" t="s">
        <v>71</v>
      </c>
    </row>
    <row r="248" spans="2:4" x14ac:dyDescent="0.2">
      <c r="D248" s="1" t="s">
        <v>72</v>
      </c>
    </row>
    <row r="249" spans="2:4" x14ac:dyDescent="0.2">
      <c r="C249" s="1" t="s">
        <v>103</v>
      </c>
      <c r="D249" s="1" t="s">
        <v>104</v>
      </c>
    </row>
    <row r="250" spans="2:4" x14ac:dyDescent="0.2">
      <c r="D250" s="1" t="s">
        <v>105</v>
      </c>
    </row>
    <row r="251" spans="2:4" x14ac:dyDescent="0.2">
      <c r="B251" s="1">
        <v>6</v>
      </c>
      <c r="C251" s="1" t="s">
        <v>64</v>
      </c>
      <c r="D251" s="1" t="s">
        <v>65</v>
      </c>
    </row>
    <row r="252" spans="2:4" x14ac:dyDescent="0.2">
      <c r="D252" s="1" t="s">
        <v>66</v>
      </c>
    </row>
    <row r="253" spans="2:4" x14ac:dyDescent="0.2">
      <c r="D253" s="1" t="s">
        <v>67</v>
      </c>
    </row>
    <row r="254" spans="2:4" x14ac:dyDescent="0.2">
      <c r="C254" s="1" t="s">
        <v>148</v>
      </c>
      <c r="D254" s="1" t="s">
        <v>149</v>
      </c>
    </row>
    <row r="255" spans="2:4" x14ac:dyDescent="0.2">
      <c r="D255" s="1" t="s">
        <v>31</v>
      </c>
    </row>
    <row r="256" spans="2:4" x14ac:dyDescent="0.2">
      <c r="D256" s="1" t="s">
        <v>150</v>
      </c>
    </row>
    <row r="257" spans="2:4" x14ac:dyDescent="0.2">
      <c r="B257" s="1">
        <v>7</v>
      </c>
      <c r="C257" s="1" t="s">
        <v>77</v>
      </c>
      <c r="D257" s="1" t="s">
        <v>78</v>
      </c>
    </row>
    <row r="258" spans="2:4" x14ac:dyDescent="0.2">
      <c r="D258" s="1" t="s">
        <v>79</v>
      </c>
    </row>
    <row r="259" spans="2:4" x14ac:dyDescent="0.2">
      <c r="C259" s="1" t="s">
        <v>49</v>
      </c>
      <c r="D259" s="1" t="s">
        <v>31</v>
      </c>
    </row>
    <row r="260" spans="2:4" x14ac:dyDescent="0.2">
      <c r="D260" s="1" t="s">
        <v>50</v>
      </c>
    </row>
    <row r="261" spans="2:4" x14ac:dyDescent="0.2">
      <c r="D261" s="1" t="s">
        <v>51</v>
      </c>
    </row>
    <row r="262" spans="2:4" x14ac:dyDescent="0.2">
      <c r="B262" s="1">
        <v>8</v>
      </c>
      <c r="C262" s="1" t="s">
        <v>85</v>
      </c>
      <c r="D262" s="1" t="s">
        <v>86</v>
      </c>
    </row>
    <row r="263" spans="2:4" x14ac:dyDescent="0.2">
      <c r="D263" s="1" t="s">
        <v>87</v>
      </c>
    </row>
    <row r="264" spans="2:4" x14ac:dyDescent="0.2">
      <c r="C264" s="1" t="s">
        <v>151</v>
      </c>
      <c r="D264" s="1" t="s">
        <v>152</v>
      </c>
    </row>
    <row r="265" spans="2:4" x14ac:dyDescent="0.2">
      <c r="D265" s="1" t="s">
        <v>153</v>
      </c>
    </row>
    <row r="266" spans="2:4" x14ac:dyDescent="0.2">
      <c r="B266" s="1">
        <v>9</v>
      </c>
      <c r="C266" s="1" t="s">
        <v>154</v>
      </c>
      <c r="D266" s="1" t="s">
        <v>155</v>
      </c>
    </row>
    <row r="267" spans="2:4" x14ac:dyDescent="0.2">
      <c r="D267" s="1" t="s">
        <v>156</v>
      </c>
    </row>
    <row r="268" spans="2:4" x14ac:dyDescent="0.2">
      <c r="C268" s="1" t="s">
        <v>123</v>
      </c>
      <c r="D268" s="1" t="s">
        <v>124</v>
      </c>
    </row>
    <row r="269" spans="2:4" x14ac:dyDescent="0.2">
      <c r="D269" s="1" t="s">
        <v>125</v>
      </c>
    </row>
    <row r="270" spans="2:4" x14ac:dyDescent="0.2">
      <c r="B270" s="1">
        <v>10</v>
      </c>
      <c r="C270" s="1" t="s">
        <v>26</v>
      </c>
      <c r="D270" s="1" t="s">
        <v>27</v>
      </c>
    </row>
    <row r="271" spans="2:4" x14ac:dyDescent="0.2">
      <c r="D271" s="1" t="s">
        <v>28</v>
      </c>
    </row>
    <row r="272" spans="2:4" x14ac:dyDescent="0.2">
      <c r="D272" s="1" t="s">
        <v>4</v>
      </c>
    </row>
    <row r="273" spans="2:4" x14ac:dyDescent="0.2">
      <c r="C273" s="1" t="s">
        <v>157</v>
      </c>
      <c r="D273" s="1" t="s">
        <v>158</v>
      </c>
    </row>
    <row r="274" spans="2:4" x14ac:dyDescent="0.2">
      <c r="D274" s="1" t="s">
        <v>159</v>
      </c>
    </row>
    <row r="275" spans="2:4" x14ac:dyDescent="0.2">
      <c r="B275" s="1">
        <v>11</v>
      </c>
      <c r="C275" s="1" t="s">
        <v>59</v>
      </c>
      <c r="D275" s="1" t="s">
        <v>60</v>
      </c>
    </row>
    <row r="276" spans="2:4" x14ac:dyDescent="0.2">
      <c r="D276" s="1" t="s">
        <v>4</v>
      </c>
    </row>
    <row r="277" spans="2:4" x14ac:dyDescent="0.2">
      <c r="D277" s="1" t="s">
        <v>61</v>
      </c>
    </row>
    <row r="278" spans="2:4" x14ac:dyDescent="0.2">
      <c r="C278" s="1" t="s">
        <v>115</v>
      </c>
      <c r="D278" s="1" t="s">
        <v>116</v>
      </c>
    </row>
    <row r="279" spans="2:4" x14ac:dyDescent="0.2">
      <c r="D279" s="1" t="s">
        <v>31</v>
      </c>
    </row>
    <row r="280" spans="2:4" x14ac:dyDescent="0.2">
      <c r="D280" s="1" t="s">
        <v>117</v>
      </c>
    </row>
    <row r="281" spans="2:4" x14ac:dyDescent="0.2">
      <c r="B281" s="1">
        <v>12</v>
      </c>
      <c r="C281" s="1" t="s">
        <v>160</v>
      </c>
      <c r="D281" s="1" t="s">
        <v>161</v>
      </c>
    </row>
    <row r="282" spans="2:4" x14ac:dyDescent="0.2">
      <c r="D282" s="1" t="s">
        <v>162</v>
      </c>
    </row>
    <row r="283" spans="2:4" x14ac:dyDescent="0.2">
      <c r="C283" s="1" t="s">
        <v>52</v>
      </c>
      <c r="D283" s="1" t="s">
        <v>53</v>
      </c>
    </row>
    <row r="284" spans="2:4" x14ac:dyDescent="0.2">
      <c r="D284" s="1" t="s">
        <v>31</v>
      </c>
    </row>
    <row r="285" spans="2:4" x14ac:dyDescent="0.2">
      <c r="D285" s="1" t="s">
        <v>54</v>
      </c>
    </row>
    <row r="286" spans="2:4" x14ac:dyDescent="0.2">
      <c r="B286" s="1">
        <v>13</v>
      </c>
      <c r="C286" s="1" t="s">
        <v>163</v>
      </c>
      <c r="D286" s="1" t="s">
        <v>164</v>
      </c>
    </row>
    <row r="287" spans="2:4" x14ac:dyDescent="0.2">
      <c r="D287" s="1" t="s">
        <v>4</v>
      </c>
    </row>
    <row r="288" spans="2:4" x14ac:dyDescent="0.2">
      <c r="C288" s="1" t="s">
        <v>131</v>
      </c>
      <c r="D288" s="1" t="s">
        <v>132</v>
      </c>
    </row>
    <row r="289" spans="2:4" x14ac:dyDescent="0.2">
      <c r="D289" s="1" t="s">
        <v>127</v>
      </c>
    </row>
    <row r="290" spans="2:4" x14ac:dyDescent="0.2">
      <c r="D290" s="1" t="s">
        <v>133</v>
      </c>
    </row>
    <row r="291" spans="2:4" x14ac:dyDescent="0.2">
      <c r="B291" s="1"/>
      <c r="C291" s="1"/>
      <c r="D291" s="1"/>
    </row>
    <row r="292" spans="2:4" x14ac:dyDescent="0.2">
      <c r="D292" s="1"/>
    </row>
    <row r="293" spans="2:4" x14ac:dyDescent="0.2">
      <c r="C293" s="1"/>
      <c r="D293" s="1"/>
    </row>
    <row r="294" spans="2:4" x14ac:dyDescent="0.2">
      <c r="D294" s="1"/>
    </row>
    <row r="295" spans="2:4" x14ac:dyDescent="0.2">
      <c r="D295" s="1"/>
    </row>
    <row r="296" spans="2:4" x14ac:dyDescent="0.2">
      <c r="B296" s="1"/>
      <c r="C296" s="1"/>
      <c r="D296" s="1"/>
    </row>
    <row r="297" spans="2:4" x14ac:dyDescent="0.2">
      <c r="D297" s="1"/>
    </row>
    <row r="298" spans="2:4" x14ac:dyDescent="0.2">
      <c r="D298" s="1"/>
    </row>
    <row r="299" spans="2:4" x14ac:dyDescent="0.2">
      <c r="C299" s="1"/>
      <c r="D299" s="1"/>
    </row>
    <row r="300" spans="2:4" x14ac:dyDescent="0.2">
      <c r="D300" s="1"/>
    </row>
    <row r="301" spans="2:4" x14ac:dyDescent="0.2">
      <c r="B301" s="1"/>
      <c r="C301" s="1"/>
      <c r="D301" s="1"/>
    </row>
    <row r="302" spans="2:4" x14ac:dyDescent="0.2">
      <c r="D302" s="1"/>
    </row>
    <row r="303" spans="2:4" x14ac:dyDescent="0.2">
      <c r="C303" s="1"/>
      <c r="D303" s="1"/>
    </row>
    <row r="304" spans="2:4" x14ac:dyDescent="0.2">
      <c r="D304" s="1"/>
    </row>
    <row r="305" spans="1:4" x14ac:dyDescent="0.2">
      <c r="B305" s="1"/>
      <c r="C305" s="1"/>
      <c r="D305" s="1"/>
    </row>
    <row r="306" spans="1:4" x14ac:dyDescent="0.2">
      <c r="D306" s="1"/>
    </row>
    <row r="307" spans="1:4" x14ac:dyDescent="0.2">
      <c r="C307" s="1"/>
      <c r="D307" s="1"/>
    </row>
    <row r="308" spans="1:4" x14ac:dyDescent="0.2">
      <c r="D308" s="1"/>
    </row>
    <row r="309" spans="1:4" x14ac:dyDescent="0.2">
      <c r="B309" s="1"/>
      <c r="C309" s="1"/>
      <c r="D309" s="1"/>
    </row>
    <row r="310" spans="1:4" x14ac:dyDescent="0.2">
      <c r="D310" s="1"/>
    </row>
    <row r="311" spans="1:4" x14ac:dyDescent="0.2">
      <c r="C311" s="1"/>
      <c r="D311" s="1"/>
    </row>
    <row r="312" spans="1:4" x14ac:dyDescent="0.2">
      <c r="D312" s="1"/>
    </row>
    <row r="313" spans="1:4" x14ac:dyDescent="0.2">
      <c r="D313" s="1"/>
    </row>
    <row r="314" spans="1:4" x14ac:dyDescent="0.2">
      <c r="A314" s="1" t="s">
        <v>165</v>
      </c>
    </row>
    <row r="315" spans="1:4" x14ac:dyDescent="0.2">
      <c r="C315" s="1" t="s">
        <v>1</v>
      </c>
      <c r="D315" s="1" t="s">
        <v>2</v>
      </c>
    </row>
    <row r="316" spans="1:4" x14ac:dyDescent="0.2">
      <c r="B316" s="1">
        <v>1</v>
      </c>
      <c r="C316" s="1" t="s">
        <v>166</v>
      </c>
      <c r="D316" s="1" t="s">
        <v>75</v>
      </c>
    </row>
    <row r="317" spans="1:4" x14ac:dyDescent="0.2">
      <c r="D317" s="1" t="s">
        <v>167</v>
      </c>
    </row>
    <row r="318" spans="1:4" x14ac:dyDescent="0.2">
      <c r="B318" s="1">
        <v>2</v>
      </c>
      <c r="C318" s="1" t="s">
        <v>168</v>
      </c>
      <c r="D318" s="1" t="s">
        <v>169</v>
      </c>
    </row>
    <row r="319" spans="1:4" x14ac:dyDescent="0.2">
      <c r="D319" s="1" t="s">
        <v>75</v>
      </c>
    </row>
    <row r="320" spans="1:4" x14ac:dyDescent="0.2">
      <c r="B320" s="1">
        <v>3</v>
      </c>
      <c r="C320" s="1" t="s">
        <v>170</v>
      </c>
      <c r="D320" s="1" t="s">
        <v>75</v>
      </c>
    </row>
    <row r="321" spans="2:4" x14ac:dyDescent="0.2">
      <c r="D321" s="1" t="s">
        <v>171</v>
      </c>
    </row>
    <row r="322" spans="2:4" x14ac:dyDescent="0.2">
      <c r="B322" s="1">
        <v>4</v>
      </c>
      <c r="C322" s="1" t="s">
        <v>172</v>
      </c>
      <c r="D322" s="1" t="s">
        <v>173</v>
      </c>
    </row>
    <row r="323" spans="2:4" x14ac:dyDescent="0.2">
      <c r="D323" s="1" t="s">
        <v>75</v>
      </c>
    </row>
    <row r="324" spans="2:4" x14ac:dyDescent="0.2">
      <c r="D324" s="1" t="s">
        <v>174</v>
      </c>
    </row>
    <row r="325" spans="2:4" x14ac:dyDescent="0.2">
      <c r="B325" s="1">
        <v>5</v>
      </c>
      <c r="C325" s="1" t="s">
        <v>175</v>
      </c>
      <c r="D325" s="1" t="s">
        <v>75</v>
      </c>
    </row>
    <row r="326" spans="2:4" x14ac:dyDescent="0.2">
      <c r="D326" s="1" t="s">
        <v>176</v>
      </c>
    </row>
    <row r="327" spans="2:4" x14ac:dyDescent="0.2">
      <c r="B327" s="1">
        <v>6</v>
      </c>
      <c r="C327" s="1" t="s">
        <v>177</v>
      </c>
      <c r="D327" s="1" t="s">
        <v>75</v>
      </c>
    </row>
    <row r="328" spans="2:4" x14ac:dyDescent="0.2">
      <c r="B328" s="1">
        <v>7</v>
      </c>
      <c r="C328" s="1" t="s">
        <v>178</v>
      </c>
      <c r="D328" s="1" t="s">
        <v>75</v>
      </c>
    </row>
    <row r="329" spans="2:4" x14ac:dyDescent="0.2">
      <c r="D329" s="1" t="s">
        <v>179</v>
      </c>
    </row>
    <row r="330" spans="2:4" x14ac:dyDescent="0.2">
      <c r="B330" s="1">
        <v>8</v>
      </c>
      <c r="C330" s="1" t="s">
        <v>180</v>
      </c>
      <c r="D330" s="1" t="s">
        <v>75</v>
      </c>
    </row>
    <row r="331" spans="2:4" x14ac:dyDescent="0.2">
      <c r="D331" s="1" t="s">
        <v>181</v>
      </c>
    </row>
    <row r="332" spans="2:4" x14ac:dyDescent="0.2">
      <c r="B332" s="1">
        <v>9</v>
      </c>
      <c r="C332" s="1" t="s">
        <v>182</v>
      </c>
      <c r="D332" s="1" t="s">
        <v>183</v>
      </c>
    </row>
    <row r="333" spans="2:4" x14ac:dyDescent="0.2">
      <c r="D333" s="1" t="s">
        <v>75</v>
      </c>
    </row>
    <row r="334" spans="2:4" x14ac:dyDescent="0.2">
      <c r="B334" s="1">
        <v>10</v>
      </c>
      <c r="C334" s="1" t="s">
        <v>184</v>
      </c>
      <c r="D334" s="1" t="s">
        <v>75</v>
      </c>
    </row>
    <row r="335" spans="2:4" x14ac:dyDescent="0.2">
      <c r="B335" s="1">
        <v>11</v>
      </c>
      <c r="C335" s="1" t="s">
        <v>185</v>
      </c>
      <c r="D335" s="1" t="s">
        <v>75</v>
      </c>
    </row>
    <row r="336" spans="2:4" x14ac:dyDescent="0.2">
      <c r="D336" s="1" t="s">
        <v>186</v>
      </c>
    </row>
    <row r="337" spans="2:4" x14ac:dyDescent="0.2">
      <c r="D337" s="1" t="s">
        <v>187</v>
      </c>
    </row>
    <row r="338" spans="2:4" x14ac:dyDescent="0.2">
      <c r="B338" s="1">
        <v>12</v>
      </c>
      <c r="C338" s="1" t="s">
        <v>188</v>
      </c>
      <c r="D338" s="1" t="s">
        <v>75</v>
      </c>
    </row>
    <row r="339" spans="2:4" x14ac:dyDescent="0.2">
      <c r="D339" s="1" t="s">
        <v>189</v>
      </c>
    </row>
    <row r="340" spans="2:4" x14ac:dyDescent="0.2">
      <c r="B340" s="1">
        <v>13</v>
      </c>
      <c r="C340" s="1" t="s">
        <v>190</v>
      </c>
      <c r="D340" s="1" t="s">
        <v>75</v>
      </c>
    </row>
    <row r="341" spans="2:4" x14ac:dyDescent="0.2">
      <c r="D341" s="1" t="s">
        <v>191</v>
      </c>
    </row>
    <row r="342" spans="2:4" x14ac:dyDescent="0.2">
      <c r="B342" s="1">
        <v>14</v>
      </c>
      <c r="C342" s="1" t="s">
        <v>192</v>
      </c>
      <c r="D342" s="1" t="s">
        <v>75</v>
      </c>
    </row>
    <row r="343" spans="2:4" x14ac:dyDescent="0.2">
      <c r="B343" s="1">
        <v>15</v>
      </c>
      <c r="C343" s="1" t="s">
        <v>193</v>
      </c>
      <c r="D343" s="1" t="s">
        <v>75</v>
      </c>
    </row>
    <row r="344" spans="2:4" x14ac:dyDescent="0.2">
      <c r="B344" s="1">
        <v>16</v>
      </c>
      <c r="C344" s="1" t="s">
        <v>194</v>
      </c>
      <c r="D344" s="1" t="s">
        <v>75</v>
      </c>
    </row>
    <row r="345" spans="2:4" x14ac:dyDescent="0.2">
      <c r="D345" s="1" t="s">
        <v>195</v>
      </c>
    </row>
    <row r="346" spans="2:4" x14ac:dyDescent="0.2">
      <c r="B346" s="1">
        <v>17</v>
      </c>
      <c r="C346" s="1" t="s">
        <v>196</v>
      </c>
      <c r="D346" s="1" t="s">
        <v>75</v>
      </c>
    </row>
    <row r="347" spans="2:4" x14ac:dyDescent="0.2">
      <c r="B347" s="1">
        <v>18</v>
      </c>
      <c r="C347" s="1" t="s">
        <v>197</v>
      </c>
      <c r="D347" s="1" t="s">
        <v>198</v>
      </c>
    </row>
    <row r="348" spans="2:4" x14ac:dyDescent="0.2">
      <c r="D348" s="1" t="s">
        <v>75</v>
      </c>
    </row>
    <row r="349" spans="2:4" x14ac:dyDescent="0.2">
      <c r="B349" s="1">
        <v>19</v>
      </c>
      <c r="C349" s="1" t="s">
        <v>199</v>
      </c>
      <c r="D349" s="1" t="s">
        <v>75</v>
      </c>
    </row>
    <row r="350" spans="2:4" x14ac:dyDescent="0.2">
      <c r="D350" s="1" t="s">
        <v>200</v>
      </c>
    </row>
    <row r="351" spans="2:4" x14ac:dyDescent="0.2">
      <c r="D351" s="1" t="s">
        <v>201</v>
      </c>
    </row>
    <row r="352" spans="2:4" x14ac:dyDescent="0.2">
      <c r="B352" s="1">
        <v>20</v>
      </c>
      <c r="C352" s="1" t="s">
        <v>202</v>
      </c>
      <c r="D352" s="1" t="s">
        <v>75</v>
      </c>
    </row>
    <row r="353" spans="2:4" x14ac:dyDescent="0.2">
      <c r="B353" s="1">
        <v>21</v>
      </c>
      <c r="C353" s="1" t="s">
        <v>203</v>
      </c>
      <c r="D353" s="1" t="s">
        <v>75</v>
      </c>
    </row>
    <row r="354" spans="2:4" x14ac:dyDescent="0.2">
      <c r="D354" s="1" t="s">
        <v>204</v>
      </c>
    </row>
    <row r="355" spans="2:4" x14ac:dyDescent="0.2">
      <c r="B355" s="1">
        <v>22</v>
      </c>
      <c r="C355" s="1" t="s">
        <v>205</v>
      </c>
      <c r="D355" s="1" t="s">
        <v>206</v>
      </c>
    </row>
    <row r="356" spans="2:4" x14ac:dyDescent="0.2">
      <c r="D356" s="1" t="s">
        <v>207</v>
      </c>
    </row>
    <row r="357" spans="2:4" x14ac:dyDescent="0.2">
      <c r="D357" s="1" t="s">
        <v>75</v>
      </c>
    </row>
    <row r="358" spans="2:4" x14ac:dyDescent="0.2">
      <c r="B358" s="1">
        <v>23</v>
      </c>
      <c r="C358" s="1" t="s">
        <v>208</v>
      </c>
      <c r="D358" s="1" t="s">
        <v>75</v>
      </c>
    </row>
    <row r="359" spans="2:4" x14ac:dyDescent="0.2">
      <c r="B359" s="1">
        <v>24</v>
      </c>
      <c r="C359" s="1" t="s">
        <v>209</v>
      </c>
      <c r="D359" s="1" t="s">
        <v>210</v>
      </c>
    </row>
    <row r="360" spans="2:4" x14ac:dyDescent="0.2">
      <c r="D360" s="1" t="s">
        <v>211</v>
      </c>
    </row>
    <row r="361" spans="2:4" x14ac:dyDescent="0.2">
      <c r="D361" s="1" t="s">
        <v>75</v>
      </c>
    </row>
    <row r="362" spans="2:4" x14ac:dyDescent="0.2">
      <c r="B362" s="1">
        <v>25</v>
      </c>
      <c r="C362" s="1" t="s">
        <v>212</v>
      </c>
      <c r="D362" s="1" t="s">
        <v>213</v>
      </c>
    </row>
    <row r="363" spans="2:4" x14ac:dyDescent="0.2">
      <c r="D363" s="1" t="s">
        <v>75</v>
      </c>
    </row>
    <row r="364" spans="2:4" x14ac:dyDescent="0.2">
      <c r="D364" s="1" t="s">
        <v>173</v>
      </c>
    </row>
    <row r="365" spans="2:4" x14ac:dyDescent="0.2">
      <c r="B365" s="1">
        <v>26</v>
      </c>
      <c r="C365" s="1" t="s">
        <v>214</v>
      </c>
      <c r="D365" s="1" t="s">
        <v>215</v>
      </c>
    </row>
    <row r="366" spans="2:4" x14ac:dyDescent="0.2">
      <c r="D366" s="1" t="s">
        <v>75</v>
      </c>
    </row>
    <row r="367" spans="2:4" x14ac:dyDescent="0.2">
      <c r="D367" s="1" t="s">
        <v>216</v>
      </c>
    </row>
    <row r="368" spans="2:4" x14ac:dyDescent="0.2">
      <c r="B368" s="1">
        <v>27</v>
      </c>
      <c r="C368" s="1" t="s">
        <v>217</v>
      </c>
      <c r="D368" s="1" t="s">
        <v>75</v>
      </c>
    </row>
    <row r="369" spans="2:4" x14ac:dyDescent="0.2">
      <c r="D369" s="1" t="s">
        <v>218</v>
      </c>
    </row>
    <row r="370" spans="2:4" x14ac:dyDescent="0.2">
      <c r="B370" s="1">
        <v>28</v>
      </c>
      <c r="C370" s="1" t="s">
        <v>219</v>
      </c>
      <c r="D370" s="1" t="s">
        <v>75</v>
      </c>
    </row>
    <row r="371" spans="2:4" x14ac:dyDescent="0.2">
      <c r="B371" s="1">
        <v>29</v>
      </c>
      <c r="C371" s="1" t="s">
        <v>220</v>
      </c>
      <c r="D371" s="1" t="s">
        <v>75</v>
      </c>
    </row>
    <row r="372" spans="2:4" x14ac:dyDescent="0.2">
      <c r="D372" s="1" t="s">
        <v>221</v>
      </c>
    </row>
    <row r="373" spans="2:4" x14ac:dyDescent="0.2">
      <c r="B373" s="1"/>
      <c r="C373" s="1"/>
      <c r="D373" s="1"/>
    </row>
    <row r="374" spans="2:4" x14ac:dyDescent="0.2">
      <c r="D374" s="1"/>
    </row>
    <row r="375" spans="2:4" x14ac:dyDescent="0.2">
      <c r="D375" s="1"/>
    </row>
    <row r="376" spans="2:4" x14ac:dyDescent="0.2">
      <c r="B376" s="1"/>
      <c r="C376" s="1"/>
      <c r="D376" s="1"/>
    </row>
    <row r="377" spans="2:4" x14ac:dyDescent="0.2">
      <c r="D377" s="1"/>
    </row>
    <row r="378" spans="2:4" x14ac:dyDescent="0.2">
      <c r="B378" s="1"/>
      <c r="C378" s="1"/>
      <c r="D378" s="1"/>
    </row>
    <row r="379" spans="2:4" x14ac:dyDescent="0.2">
      <c r="D379" s="1"/>
    </row>
    <row r="380" spans="2:4" x14ac:dyDescent="0.2">
      <c r="D380" s="1"/>
    </row>
    <row r="381" spans="2:4" x14ac:dyDescent="0.2">
      <c r="B381" s="1"/>
      <c r="C381" s="1"/>
      <c r="D381" s="1"/>
    </row>
    <row r="382" spans="2:4" x14ac:dyDescent="0.2">
      <c r="D382" s="1"/>
    </row>
    <row r="383" spans="2:4" x14ac:dyDescent="0.2">
      <c r="B383" s="1"/>
      <c r="C383" s="1"/>
      <c r="D383" s="1"/>
    </row>
    <row r="384" spans="2:4" x14ac:dyDescent="0.2">
      <c r="D384" s="1"/>
    </row>
    <row r="385" spans="2:4" x14ac:dyDescent="0.2">
      <c r="D385" s="1"/>
    </row>
    <row r="386" spans="2:4" x14ac:dyDescent="0.2">
      <c r="B386" s="1"/>
      <c r="C386" s="1"/>
      <c r="D386" s="1"/>
    </row>
    <row r="387" spans="2:4" x14ac:dyDescent="0.2">
      <c r="B387" s="1"/>
      <c r="C387" s="1"/>
      <c r="D387" s="1"/>
    </row>
    <row r="388" spans="2:4" x14ac:dyDescent="0.2">
      <c r="D388" s="1"/>
    </row>
    <row r="389" spans="2:4" x14ac:dyDescent="0.2">
      <c r="B389" s="1"/>
      <c r="C389" s="1"/>
      <c r="D389" s="1"/>
    </row>
    <row r="390" spans="2:4" x14ac:dyDescent="0.2">
      <c r="B390" s="1"/>
      <c r="C390" s="1"/>
      <c r="D390" s="1"/>
    </row>
    <row r="391" spans="2:4" x14ac:dyDescent="0.2">
      <c r="B391" s="1"/>
      <c r="C391" s="1"/>
      <c r="D391" s="1"/>
    </row>
    <row r="392" spans="2:4" x14ac:dyDescent="0.2">
      <c r="D392" s="1"/>
    </row>
    <row r="393" spans="2:4" x14ac:dyDescent="0.2">
      <c r="D393" s="1"/>
    </row>
    <row r="394" spans="2:4" x14ac:dyDescent="0.2">
      <c r="B394" s="1"/>
      <c r="C394" s="1"/>
      <c r="D394" s="1"/>
    </row>
    <row r="395" spans="2:4" x14ac:dyDescent="0.2">
      <c r="D395" s="1"/>
    </row>
    <row r="396" spans="2:4" x14ac:dyDescent="0.2">
      <c r="D396" s="1"/>
    </row>
    <row r="397" spans="2:4" x14ac:dyDescent="0.2">
      <c r="B397" s="1"/>
      <c r="C397" s="1"/>
      <c r="D397" s="1"/>
    </row>
    <row r="398" spans="2:4" x14ac:dyDescent="0.2">
      <c r="B398" s="1"/>
      <c r="C398" s="1"/>
      <c r="D398" s="1"/>
    </row>
    <row r="399" spans="2:4" x14ac:dyDescent="0.2">
      <c r="D399" s="1"/>
    </row>
    <row r="400" spans="2:4" x14ac:dyDescent="0.2">
      <c r="B400" s="1"/>
      <c r="C400" s="1"/>
      <c r="D400" s="1"/>
    </row>
    <row r="401" spans="1:4" x14ac:dyDescent="0.2">
      <c r="D401" s="1"/>
    </row>
    <row r="402" spans="1:4" x14ac:dyDescent="0.2">
      <c r="B402" s="1"/>
      <c r="C402" s="1"/>
      <c r="D402" s="1"/>
    </row>
    <row r="403" spans="1:4" x14ac:dyDescent="0.2">
      <c r="D403" s="1"/>
    </row>
    <row r="404" spans="1:4" x14ac:dyDescent="0.2">
      <c r="B404" s="1"/>
      <c r="C404" s="1"/>
      <c r="D404" s="1"/>
    </row>
    <row r="405" spans="1:4" x14ac:dyDescent="0.2">
      <c r="D405" s="1"/>
    </row>
    <row r="406" spans="1:4" x14ac:dyDescent="0.2">
      <c r="D406" s="1"/>
    </row>
    <row r="407" spans="1:4" x14ac:dyDescent="0.2">
      <c r="B407" s="1"/>
      <c r="C407" s="1"/>
      <c r="D407" s="1"/>
    </row>
    <row r="408" spans="1:4" x14ac:dyDescent="0.2">
      <c r="D408" s="1"/>
    </row>
    <row r="409" spans="1:4" x14ac:dyDescent="0.2">
      <c r="B409" s="1"/>
      <c r="C409" s="1"/>
      <c r="D409" s="1"/>
    </row>
    <row r="410" spans="1:4" x14ac:dyDescent="0.2">
      <c r="A410" s="1" t="s">
        <v>222</v>
      </c>
    </row>
    <row r="411" spans="1:4" x14ac:dyDescent="0.2">
      <c r="C411" s="1" t="s">
        <v>1</v>
      </c>
      <c r="D411" s="1" t="s">
        <v>2</v>
      </c>
    </row>
    <row r="412" spans="1:4" x14ac:dyDescent="0.2">
      <c r="B412" s="1">
        <v>1</v>
      </c>
      <c r="C412" s="1" t="s">
        <v>223</v>
      </c>
      <c r="D412" s="1" t="s">
        <v>127</v>
      </c>
    </row>
    <row r="413" spans="1:4" x14ac:dyDescent="0.2">
      <c r="B413" s="1">
        <v>2</v>
      </c>
      <c r="C413" s="1" t="s">
        <v>224</v>
      </c>
      <c r="D413" s="1" t="s">
        <v>127</v>
      </c>
    </row>
    <row r="414" spans="1:4" x14ac:dyDescent="0.2">
      <c r="D414" s="1" t="s">
        <v>225</v>
      </c>
    </row>
    <row r="415" spans="1:4" x14ac:dyDescent="0.2">
      <c r="D415" s="1" t="s">
        <v>226</v>
      </c>
    </row>
    <row r="416" spans="1:4" x14ac:dyDescent="0.2">
      <c r="B416" s="1">
        <v>3</v>
      </c>
      <c r="C416" s="1" t="s">
        <v>227</v>
      </c>
      <c r="D416" s="1" t="s">
        <v>127</v>
      </c>
    </row>
    <row r="417" spans="2:4" x14ac:dyDescent="0.2">
      <c r="D417" s="1" t="s">
        <v>228</v>
      </c>
    </row>
    <row r="418" spans="2:4" x14ac:dyDescent="0.2">
      <c r="B418" s="1">
        <v>4</v>
      </c>
      <c r="C418" s="1" t="s">
        <v>229</v>
      </c>
      <c r="D418" s="1" t="s">
        <v>127</v>
      </c>
    </row>
    <row r="419" spans="2:4" x14ac:dyDescent="0.2">
      <c r="D419" s="1" t="s">
        <v>230</v>
      </c>
    </row>
    <row r="420" spans="2:4" x14ac:dyDescent="0.2">
      <c r="D420" s="1" t="s">
        <v>231</v>
      </c>
    </row>
    <row r="421" spans="2:4" x14ac:dyDescent="0.2">
      <c r="B421" s="1">
        <v>5</v>
      </c>
      <c r="C421" s="1" t="s">
        <v>232</v>
      </c>
      <c r="D421" s="1" t="s">
        <v>233</v>
      </c>
    </row>
    <row r="422" spans="2:4" x14ac:dyDescent="0.2">
      <c r="D422" s="1" t="s">
        <v>127</v>
      </c>
    </row>
    <row r="423" spans="2:4" x14ac:dyDescent="0.2">
      <c r="B423" s="1">
        <v>6</v>
      </c>
      <c r="C423" s="1" t="s">
        <v>234</v>
      </c>
      <c r="D423" s="1" t="s">
        <v>127</v>
      </c>
    </row>
    <row r="424" spans="2:4" x14ac:dyDescent="0.2">
      <c r="D424" s="1" t="s">
        <v>235</v>
      </c>
    </row>
    <row r="425" spans="2:4" x14ac:dyDescent="0.2">
      <c r="B425" s="1">
        <v>7</v>
      </c>
      <c r="C425" s="1" t="s">
        <v>126</v>
      </c>
      <c r="D425" s="1" t="s">
        <v>127</v>
      </c>
    </row>
    <row r="426" spans="2:4" x14ac:dyDescent="0.2">
      <c r="D426" s="1" t="s">
        <v>128</v>
      </c>
    </row>
    <row r="427" spans="2:4" x14ac:dyDescent="0.2">
      <c r="D427" s="1" t="s">
        <v>129</v>
      </c>
    </row>
    <row r="428" spans="2:4" x14ac:dyDescent="0.2">
      <c r="B428" s="1"/>
      <c r="C428" s="1"/>
      <c r="D428" s="1"/>
    </row>
    <row r="429" spans="2:4" x14ac:dyDescent="0.2">
      <c r="D429" s="1"/>
    </row>
    <row r="430" spans="2:4" x14ac:dyDescent="0.2">
      <c r="D430" s="1"/>
    </row>
    <row r="431" spans="2:4" x14ac:dyDescent="0.2">
      <c r="B431" s="1"/>
      <c r="C431" s="1"/>
      <c r="D431" s="1"/>
    </row>
    <row r="432" spans="2:4" x14ac:dyDescent="0.2">
      <c r="D432" s="1"/>
    </row>
    <row r="433" spans="1:4" x14ac:dyDescent="0.2">
      <c r="D433" s="1"/>
    </row>
    <row r="434" spans="1:4" x14ac:dyDescent="0.2">
      <c r="B434" s="1"/>
      <c r="C434" s="1"/>
      <c r="D434" s="1"/>
    </row>
    <row r="435" spans="1:4" x14ac:dyDescent="0.2">
      <c r="D435" s="1"/>
    </row>
    <row r="436" spans="1:4" x14ac:dyDescent="0.2">
      <c r="B436" s="1"/>
      <c r="C436" s="1"/>
      <c r="D436" s="1"/>
    </row>
    <row r="437" spans="1:4" x14ac:dyDescent="0.2">
      <c r="D437" s="1"/>
    </row>
    <row r="438" spans="1:4" x14ac:dyDescent="0.2">
      <c r="D438" s="1"/>
    </row>
    <row r="439" spans="1:4" x14ac:dyDescent="0.2">
      <c r="B439" s="1"/>
      <c r="C439" s="1"/>
      <c r="D439" s="1"/>
    </row>
    <row r="440" spans="1:4" x14ac:dyDescent="0.2">
      <c r="D440" s="1"/>
    </row>
    <row r="441" spans="1:4" x14ac:dyDescent="0.2">
      <c r="B441" s="1"/>
      <c r="C441" s="1"/>
      <c r="D441" s="1"/>
    </row>
    <row r="442" spans="1:4" x14ac:dyDescent="0.2">
      <c r="D442" s="1"/>
    </row>
    <row r="443" spans="1:4" x14ac:dyDescent="0.2">
      <c r="B443" s="1"/>
      <c r="C443" s="1"/>
      <c r="D443" s="1"/>
    </row>
    <row r="444" spans="1:4" x14ac:dyDescent="0.2">
      <c r="B444" s="1"/>
      <c r="C444" s="1"/>
      <c r="D444" s="1"/>
    </row>
    <row r="445" spans="1:4" x14ac:dyDescent="0.2">
      <c r="D445" s="1"/>
    </row>
    <row r="446" spans="1:4" x14ac:dyDescent="0.2">
      <c r="D446" s="1"/>
    </row>
    <row r="447" spans="1:4" x14ac:dyDescent="0.2">
      <c r="A447" s="1" t="s">
        <v>236</v>
      </c>
    </row>
    <row r="448" spans="1:4" x14ac:dyDescent="0.2">
      <c r="C448" s="1" t="s">
        <v>1</v>
      </c>
      <c r="D448" s="1" t="s">
        <v>2</v>
      </c>
    </row>
    <row r="449" spans="2:4" x14ac:dyDescent="0.2">
      <c r="B449" s="1">
        <v>1</v>
      </c>
      <c r="C449" s="1" t="s">
        <v>136</v>
      </c>
      <c r="D449" s="1" t="s">
        <v>137</v>
      </c>
    </row>
    <row r="450" spans="2:4" x14ac:dyDescent="0.2">
      <c r="D450" s="1" t="s">
        <v>138</v>
      </c>
    </row>
    <row r="451" spans="2:4" x14ac:dyDescent="0.2">
      <c r="C451" s="1" t="s">
        <v>237</v>
      </c>
      <c r="D451" s="1" t="s">
        <v>238</v>
      </c>
    </row>
    <row r="452" spans="2:4" x14ac:dyDescent="0.2">
      <c r="B452" s="1">
        <v>2</v>
      </c>
      <c r="C452" s="1" t="s">
        <v>239</v>
      </c>
      <c r="D452" s="1" t="s">
        <v>240</v>
      </c>
    </row>
    <row r="453" spans="2:4" x14ac:dyDescent="0.2">
      <c r="C453" s="1" t="s">
        <v>241</v>
      </c>
      <c r="D453" s="1" t="s">
        <v>242</v>
      </c>
    </row>
    <row r="454" spans="2:4" x14ac:dyDescent="0.2">
      <c r="B454" s="1">
        <v>3</v>
      </c>
      <c r="C454" s="1" t="s">
        <v>142</v>
      </c>
      <c r="D454" s="1" t="s">
        <v>143</v>
      </c>
    </row>
    <row r="455" spans="2:4" x14ac:dyDescent="0.2">
      <c r="D455" s="1" t="s">
        <v>144</v>
      </c>
    </row>
    <row r="456" spans="2:4" x14ac:dyDescent="0.2">
      <c r="C456" s="1" t="s">
        <v>205</v>
      </c>
      <c r="D456" s="1" t="s">
        <v>206</v>
      </c>
    </row>
    <row r="457" spans="2:4" x14ac:dyDescent="0.2">
      <c r="D457" s="1" t="s">
        <v>207</v>
      </c>
    </row>
    <row r="458" spans="2:4" x14ac:dyDescent="0.2">
      <c r="D458" s="1" t="s">
        <v>75</v>
      </c>
    </row>
    <row r="459" spans="2:4" x14ac:dyDescent="0.2">
      <c r="B459" s="1">
        <v>4</v>
      </c>
      <c r="C459" s="1" t="s">
        <v>243</v>
      </c>
      <c r="D459" s="1" t="s">
        <v>244</v>
      </c>
    </row>
    <row r="460" spans="2:4" x14ac:dyDescent="0.2">
      <c r="C460" s="1" t="s">
        <v>245</v>
      </c>
      <c r="D460" s="1" t="s">
        <v>246</v>
      </c>
    </row>
    <row r="461" spans="2:4" x14ac:dyDescent="0.2">
      <c r="D461" s="1" t="s">
        <v>247</v>
      </c>
    </row>
    <row r="462" spans="2:4" x14ac:dyDescent="0.2">
      <c r="B462" s="1">
        <v>5</v>
      </c>
      <c r="C462" s="1" t="s">
        <v>248</v>
      </c>
      <c r="D462" s="1" t="s">
        <v>249</v>
      </c>
    </row>
    <row r="463" spans="2:4" x14ac:dyDescent="0.2">
      <c r="C463" s="1" t="s">
        <v>250</v>
      </c>
      <c r="D463" s="1" t="s">
        <v>251</v>
      </c>
    </row>
    <row r="464" spans="2:4" x14ac:dyDescent="0.2">
      <c r="B464" s="1"/>
      <c r="C464" s="1"/>
      <c r="D464" s="1"/>
    </row>
    <row r="465" spans="2:4" x14ac:dyDescent="0.2">
      <c r="D465" s="1"/>
    </row>
    <row r="466" spans="2:4" x14ac:dyDescent="0.2">
      <c r="C466" s="1"/>
      <c r="D466" s="1"/>
    </row>
    <row r="467" spans="2:4" x14ac:dyDescent="0.2">
      <c r="D467" s="1"/>
    </row>
    <row r="468" spans="2:4" x14ac:dyDescent="0.2">
      <c r="B468" s="1"/>
      <c r="C468" s="1"/>
      <c r="D468" s="1"/>
    </row>
    <row r="469" spans="2:4" x14ac:dyDescent="0.2">
      <c r="D469" s="1"/>
    </row>
    <row r="470" spans="2:4" x14ac:dyDescent="0.2">
      <c r="C470" s="1"/>
      <c r="D470" s="1"/>
    </row>
    <row r="471" spans="2:4" x14ac:dyDescent="0.2">
      <c r="D471" s="1"/>
    </row>
    <row r="472" spans="2:4" x14ac:dyDescent="0.2">
      <c r="B472" s="1"/>
      <c r="C472" s="1"/>
      <c r="D472" s="1"/>
    </row>
    <row r="473" spans="2:4" x14ac:dyDescent="0.2">
      <c r="D473" s="1"/>
    </row>
    <row r="474" spans="2:4" x14ac:dyDescent="0.2">
      <c r="C474" s="1"/>
      <c r="D474" s="1"/>
    </row>
    <row r="475" spans="2:4" x14ac:dyDescent="0.2">
      <c r="D475" s="1"/>
    </row>
    <row r="476" spans="2:4" x14ac:dyDescent="0.2">
      <c r="D476" s="1"/>
    </row>
    <row r="477" spans="2:4" x14ac:dyDescent="0.2">
      <c r="B477" s="1"/>
      <c r="C477" s="1"/>
      <c r="D477" s="1"/>
    </row>
    <row r="478" spans="2:4" x14ac:dyDescent="0.2">
      <c r="D478" s="1"/>
    </row>
    <row r="479" spans="2:4" x14ac:dyDescent="0.2">
      <c r="D479" s="1"/>
    </row>
    <row r="480" spans="2:4" x14ac:dyDescent="0.2">
      <c r="C480" s="1"/>
      <c r="D480" s="1"/>
    </row>
    <row r="481" spans="2:4" x14ac:dyDescent="0.2">
      <c r="D481" s="1"/>
    </row>
    <row r="482" spans="2:4" x14ac:dyDescent="0.2">
      <c r="B482" s="1"/>
      <c r="C482" s="1"/>
      <c r="D482" s="1"/>
    </row>
    <row r="483" spans="2:4" x14ac:dyDescent="0.2">
      <c r="D483" s="1"/>
    </row>
    <row r="484" spans="2:4" x14ac:dyDescent="0.2">
      <c r="C484" s="1"/>
      <c r="D484" s="1"/>
    </row>
    <row r="485" spans="2:4" x14ac:dyDescent="0.2">
      <c r="D485" s="1"/>
    </row>
    <row r="486" spans="2:4" x14ac:dyDescent="0.2">
      <c r="B486" s="1"/>
      <c r="C486" s="1"/>
      <c r="D486" s="1"/>
    </row>
    <row r="487" spans="2:4" x14ac:dyDescent="0.2">
      <c r="D487" s="1"/>
    </row>
    <row r="488" spans="2:4" x14ac:dyDescent="0.2">
      <c r="C488" s="1"/>
      <c r="D488" s="1"/>
    </row>
    <row r="489" spans="2:4" x14ac:dyDescent="0.2">
      <c r="B489" s="1"/>
      <c r="C489" s="1"/>
      <c r="D489" s="1"/>
    </row>
    <row r="490" spans="2:4" x14ac:dyDescent="0.2">
      <c r="D490" s="1"/>
    </row>
    <row r="491" spans="2:4" x14ac:dyDescent="0.2">
      <c r="C491" s="1"/>
      <c r="D491" s="1"/>
    </row>
    <row r="492" spans="2:4" x14ac:dyDescent="0.2">
      <c r="D492" s="1"/>
    </row>
    <row r="493" spans="2:4" x14ac:dyDescent="0.2">
      <c r="D493" s="1"/>
    </row>
    <row r="494" spans="2:4" x14ac:dyDescent="0.2">
      <c r="B494" s="1"/>
      <c r="C494" s="1"/>
      <c r="D494" s="1"/>
    </row>
    <row r="495" spans="2:4" x14ac:dyDescent="0.2">
      <c r="C495" s="1"/>
      <c r="D495" s="1"/>
    </row>
    <row r="496" spans="2:4" x14ac:dyDescent="0.2">
      <c r="B496" s="1"/>
      <c r="C496" s="1"/>
      <c r="D496" s="1"/>
    </row>
    <row r="497" spans="2:4" x14ac:dyDescent="0.2">
      <c r="D497" s="1"/>
    </row>
    <row r="498" spans="2:4" x14ac:dyDescent="0.2">
      <c r="D498" s="1"/>
    </row>
    <row r="499" spans="2:4" x14ac:dyDescent="0.2">
      <c r="C499" s="1"/>
      <c r="D499" s="1"/>
    </row>
    <row r="500" spans="2:4" x14ac:dyDescent="0.2">
      <c r="D500" s="1"/>
    </row>
    <row r="501" spans="2:4" x14ac:dyDescent="0.2">
      <c r="B501" s="1"/>
      <c r="C501" s="1"/>
      <c r="D501" s="1"/>
    </row>
    <row r="502" spans="2:4" x14ac:dyDescent="0.2">
      <c r="D502" s="1"/>
    </row>
    <row r="503" spans="2:4" x14ac:dyDescent="0.2">
      <c r="D503" s="1"/>
    </row>
    <row r="504" spans="2:4" x14ac:dyDescent="0.2">
      <c r="C504" s="1"/>
      <c r="D504" s="1"/>
    </row>
    <row r="505" spans="2:4" x14ac:dyDescent="0.2">
      <c r="D505" s="1"/>
    </row>
    <row r="506" spans="2:4" x14ac:dyDescent="0.2">
      <c r="B506" s="1"/>
      <c r="C506" s="1"/>
      <c r="D506" s="1"/>
    </row>
    <row r="507" spans="2:4" x14ac:dyDescent="0.2">
      <c r="D507" s="1"/>
    </row>
    <row r="508" spans="2:4" x14ac:dyDescent="0.2">
      <c r="C508" s="1"/>
      <c r="D508" s="1"/>
    </row>
    <row r="509" spans="2:4" x14ac:dyDescent="0.2">
      <c r="D509" s="1"/>
    </row>
    <row r="510" spans="2:4" x14ac:dyDescent="0.2">
      <c r="B510" s="1"/>
      <c r="C510" s="1"/>
      <c r="D510" s="1"/>
    </row>
    <row r="511" spans="2:4" x14ac:dyDescent="0.2">
      <c r="D511" s="1"/>
    </row>
    <row r="512" spans="2:4" x14ac:dyDescent="0.2">
      <c r="C512" s="1"/>
      <c r="D512" s="1"/>
    </row>
    <row r="513" spans="2:4" x14ac:dyDescent="0.2">
      <c r="D513" s="1"/>
    </row>
    <row r="514" spans="2:4" x14ac:dyDescent="0.2">
      <c r="B514" s="1"/>
      <c r="C514" s="1"/>
      <c r="D514" s="1"/>
    </row>
    <row r="515" spans="2:4" x14ac:dyDescent="0.2">
      <c r="C515" s="1"/>
      <c r="D515" s="1"/>
    </row>
    <row r="516" spans="2:4" x14ac:dyDescent="0.2">
      <c r="B516" s="1"/>
      <c r="C516" s="1"/>
      <c r="D516" s="1"/>
    </row>
    <row r="517" spans="2:4" x14ac:dyDescent="0.2">
      <c r="D517" s="1"/>
    </row>
    <row r="518" spans="2:4" x14ac:dyDescent="0.2">
      <c r="C518" s="1"/>
      <c r="D518" s="1"/>
    </row>
    <row r="519" spans="2:4" x14ac:dyDescent="0.2">
      <c r="D519" s="1"/>
    </row>
    <row r="520" spans="2:4" x14ac:dyDescent="0.2">
      <c r="B520" s="1"/>
      <c r="C520" s="1"/>
      <c r="D520" s="1"/>
    </row>
    <row r="521" spans="2:4" x14ac:dyDescent="0.2">
      <c r="D521" s="1"/>
    </row>
    <row r="522" spans="2:4" x14ac:dyDescent="0.2">
      <c r="C522" s="1"/>
      <c r="D522" s="1"/>
    </row>
    <row r="523" spans="2:4" x14ac:dyDescent="0.2">
      <c r="D523" s="1"/>
    </row>
    <row r="524" spans="2:4" x14ac:dyDescent="0.2">
      <c r="B524" s="1"/>
      <c r="C524" s="1"/>
      <c r="D524" s="1"/>
    </row>
    <row r="525" spans="2:4" x14ac:dyDescent="0.2">
      <c r="D525" s="1"/>
    </row>
    <row r="526" spans="2:4" x14ac:dyDescent="0.2">
      <c r="D526" s="1"/>
    </row>
    <row r="527" spans="2:4" x14ac:dyDescent="0.2">
      <c r="C527" s="1"/>
      <c r="D527" s="1"/>
    </row>
    <row r="528" spans="2:4" x14ac:dyDescent="0.2">
      <c r="D528" s="1"/>
    </row>
    <row r="529" spans="2:4" x14ac:dyDescent="0.2">
      <c r="B529" s="1"/>
      <c r="C529" s="1"/>
      <c r="D529" s="1"/>
    </row>
    <row r="530" spans="2:4" x14ac:dyDescent="0.2">
      <c r="D530" s="1"/>
    </row>
    <row r="531" spans="2:4" x14ac:dyDescent="0.2">
      <c r="D531" s="1"/>
    </row>
    <row r="532" spans="2:4" x14ac:dyDescent="0.2">
      <c r="C532" s="1"/>
      <c r="D532" s="1"/>
    </row>
    <row r="533" spans="2:4" x14ac:dyDescent="0.2">
      <c r="D533" s="1"/>
    </row>
    <row r="534" spans="2:4" x14ac:dyDescent="0.2">
      <c r="B534" s="1"/>
      <c r="C534" s="1"/>
      <c r="D534" s="1"/>
    </row>
    <row r="535" spans="2:4" x14ac:dyDescent="0.2">
      <c r="D535" s="1"/>
    </row>
    <row r="536" spans="2:4" x14ac:dyDescent="0.2">
      <c r="D536" s="1"/>
    </row>
    <row r="537" spans="2:4" x14ac:dyDescent="0.2">
      <c r="C537" s="1"/>
      <c r="D537" s="1"/>
    </row>
    <row r="538" spans="2:4" x14ac:dyDescent="0.2">
      <c r="D538" s="1"/>
    </row>
    <row r="539" spans="2:4" x14ac:dyDescent="0.2">
      <c r="D539" s="1"/>
    </row>
    <row r="540" spans="2:4" x14ac:dyDescent="0.2">
      <c r="B540" s="1"/>
      <c r="C540" s="1"/>
      <c r="D540" s="1"/>
    </row>
    <row r="541" spans="2:4" x14ac:dyDescent="0.2">
      <c r="D541" s="1"/>
    </row>
    <row r="542" spans="2:4" x14ac:dyDescent="0.2">
      <c r="D542" s="1"/>
    </row>
    <row r="543" spans="2:4" x14ac:dyDescent="0.2">
      <c r="C543" s="1"/>
      <c r="D543" s="1"/>
    </row>
    <row r="544" spans="2:4" x14ac:dyDescent="0.2">
      <c r="D544" s="1"/>
    </row>
    <row r="545" spans="2:4" x14ac:dyDescent="0.2">
      <c r="B545" s="1"/>
      <c r="C545" s="1"/>
      <c r="D545" s="1"/>
    </row>
    <row r="546" spans="2:4" x14ac:dyDescent="0.2">
      <c r="D546" s="1"/>
    </row>
    <row r="547" spans="2:4" x14ac:dyDescent="0.2">
      <c r="D547" s="1"/>
    </row>
    <row r="548" spans="2:4" x14ac:dyDescent="0.2">
      <c r="C548" s="1"/>
      <c r="D548" s="1"/>
    </row>
    <row r="549" spans="2:4" x14ac:dyDescent="0.2">
      <c r="D549" s="1"/>
    </row>
    <row r="550" spans="2:4" x14ac:dyDescent="0.2">
      <c r="B550" s="1"/>
      <c r="C550" s="1"/>
      <c r="D550" s="1"/>
    </row>
    <row r="551" spans="2:4" x14ac:dyDescent="0.2">
      <c r="D551" s="1"/>
    </row>
    <row r="552" spans="2:4" x14ac:dyDescent="0.2">
      <c r="C552" s="1"/>
      <c r="D552" s="1"/>
    </row>
    <row r="553" spans="2:4" x14ac:dyDescent="0.2">
      <c r="D553" s="1"/>
    </row>
    <row r="554" spans="2:4" x14ac:dyDescent="0.2">
      <c r="D554" s="1"/>
    </row>
    <row r="555" spans="2:4" x14ac:dyDescent="0.2">
      <c r="B555" s="1"/>
      <c r="C555" s="1"/>
      <c r="D555" s="1"/>
    </row>
    <row r="556" spans="2:4" x14ac:dyDescent="0.2">
      <c r="C556" s="1"/>
      <c r="D556" s="1"/>
    </row>
    <row r="557" spans="2:4" x14ac:dyDescent="0.2">
      <c r="B557" s="1"/>
      <c r="C557" s="1"/>
      <c r="D557" s="1"/>
    </row>
    <row r="558" spans="2:4" x14ac:dyDescent="0.2">
      <c r="D558" s="1"/>
    </row>
    <row r="559" spans="2:4" x14ac:dyDescent="0.2">
      <c r="C559" s="1"/>
      <c r="D559" s="1"/>
    </row>
    <row r="560" spans="2:4" x14ac:dyDescent="0.2">
      <c r="D560" s="1"/>
    </row>
    <row r="561" spans="1:4" x14ac:dyDescent="0.2">
      <c r="B561" s="1"/>
      <c r="C561" s="1"/>
      <c r="D561" s="1"/>
    </row>
    <row r="562" spans="1:4" x14ac:dyDescent="0.2">
      <c r="D562" s="1"/>
    </row>
    <row r="563" spans="1:4" x14ac:dyDescent="0.2">
      <c r="C563" s="1"/>
      <c r="D563" s="1"/>
    </row>
    <row r="564" spans="1:4" x14ac:dyDescent="0.2">
      <c r="B564" s="1"/>
      <c r="C564" s="1"/>
      <c r="D564" s="1"/>
    </row>
    <row r="565" spans="1:4" x14ac:dyDescent="0.2">
      <c r="D565" s="1"/>
    </row>
    <row r="566" spans="1:4" x14ac:dyDescent="0.2">
      <c r="D566" s="1"/>
    </row>
    <row r="567" spans="1:4" x14ac:dyDescent="0.2">
      <c r="C567" s="1"/>
      <c r="D567" s="1"/>
    </row>
    <row r="568" spans="1:4" x14ac:dyDescent="0.2">
      <c r="D568" s="1"/>
    </row>
    <row r="569" spans="1:4" x14ac:dyDescent="0.2">
      <c r="A569" s="1" t="s">
        <v>252</v>
      </c>
    </row>
    <row r="570" spans="1:4" x14ac:dyDescent="0.2">
      <c r="C570" s="1" t="s">
        <v>1</v>
      </c>
      <c r="D570" s="1" t="s">
        <v>2</v>
      </c>
    </row>
    <row r="571" spans="1:4" x14ac:dyDescent="0.2">
      <c r="B571" s="1">
        <v>1</v>
      </c>
      <c r="C571" s="1" t="s">
        <v>253</v>
      </c>
      <c r="D571" s="1" t="s">
        <v>254</v>
      </c>
    </row>
    <row r="572" spans="1:4" x14ac:dyDescent="0.2">
      <c r="C572" s="1" t="s">
        <v>255</v>
      </c>
      <c r="D572" s="1" t="s">
        <v>256</v>
      </c>
    </row>
    <row r="573" spans="1:4" x14ac:dyDescent="0.2">
      <c r="B573" s="1">
        <v>2</v>
      </c>
      <c r="C573" s="1" t="s">
        <v>257</v>
      </c>
      <c r="D573" s="1" t="s">
        <v>258</v>
      </c>
    </row>
    <row r="574" spans="1:4" x14ac:dyDescent="0.2">
      <c r="D574" s="1" t="s">
        <v>259</v>
      </c>
    </row>
    <row r="575" spans="1:4" x14ac:dyDescent="0.2">
      <c r="C575" s="1" t="s">
        <v>151</v>
      </c>
      <c r="D575" s="1" t="s">
        <v>152</v>
      </c>
    </row>
    <row r="576" spans="1:4" x14ac:dyDescent="0.2">
      <c r="D576" s="1" t="s">
        <v>153</v>
      </c>
    </row>
    <row r="577" spans="2:4" x14ac:dyDescent="0.2">
      <c r="B577" s="1">
        <v>3</v>
      </c>
      <c r="C577" s="1" t="s">
        <v>227</v>
      </c>
      <c r="D577" s="1" t="s">
        <v>127</v>
      </c>
    </row>
    <row r="578" spans="2:4" x14ac:dyDescent="0.2">
      <c r="D578" s="1" t="s">
        <v>228</v>
      </c>
    </row>
    <row r="579" spans="2:4" x14ac:dyDescent="0.2">
      <c r="C579" s="1" t="s">
        <v>260</v>
      </c>
      <c r="D579" s="1" t="s">
        <v>261</v>
      </c>
    </row>
    <row r="580" spans="2:4" x14ac:dyDescent="0.2">
      <c r="B580" s="1">
        <v>4</v>
      </c>
      <c r="C580" s="1" t="s">
        <v>262</v>
      </c>
      <c r="D580" s="1" t="s">
        <v>263</v>
      </c>
    </row>
    <row r="581" spans="2:4" x14ac:dyDescent="0.2">
      <c r="D581" s="1" t="s">
        <v>264</v>
      </c>
    </row>
    <row r="582" spans="2:4" x14ac:dyDescent="0.2">
      <c r="C582" s="1" t="s">
        <v>265</v>
      </c>
      <c r="D582" s="1" t="s">
        <v>266</v>
      </c>
    </row>
    <row r="583" spans="2:4" x14ac:dyDescent="0.2">
      <c r="D583" s="1" t="s">
        <v>267</v>
      </c>
    </row>
    <row r="584" spans="2:4" x14ac:dyDescent="0.2">
      <c r="B584" s="1">
        <v>5</v>
      </c>
      <c r="C584" s="1" t="s">
        <v>268</v>
      </c>
      <c r="D584" s="1" t="s">
        <v>269</v>
      </c>
    </row>
    <row r="585" spans="2:4" x14ac:dyDescent="0.2">
      <c r="D585" s="1" t="s">
        <v>270</v>
      </c>
    </row>
    <row r="586" spans="2:4" x14ac:dyDescent="0.2">
      <c r="D586" s="1" t="s">
        <v>271</v>
      </c>
    </row>
    <row r="587" spans="2:4" x14ac:dyDescent="0.2">
      <c r="C587" s="1" t="s">
        <v>272</v>
      </c>
      <c r="D587" s="1" t="s">
        <v>127</v>
      </c>
    </row>
    <row r="588" spans="2:4" x14ac:dyDescent="0.2">
      <c r="D588" s="1" t="s">
        <v>273</v>
      </c>
    </row>
    <row r="589" spans="2:4" x14ac:dyDescent="0.2">
      <c r="D589" s="1" t="s">
        <v>274</v>
      </c>
    </row>
    <row r="590" spans="2:4" x14ac:dyDescent="0.2">
      <c r="B590" s="1">
        <v>6</v>
      </c>
      <c r="C590" s="1" t="s">
        <v>229</v>
      </c>
      <c r="D590" s="1" t="s">
        <v>127</v>
      </c>
    </row>
    <row r="591" spans="2:4" x14ac:dyDescent="0.2">
      <c r="D591" s="1" t="s">
        <v>230</v>
      </c>
    </row>
    <row r="592" spans="2:4" x14ac:dyDescent="0.2">
      <c r="D592" s="1" t="s">
        <v>231</v>
      </c>
    </row>
    <row r="593" spans="2:4" x14ac:dyDescent="0.2">
      <c r="C593" s="1" t="s">
        <v>275</v>
      </c>
      <c r="D593" s="1" t="s">
        <v>127</v>
      </c>
    </row>
    <row r="594" spans="2:4" x14ac:dyDescent="0.2">
      <c r="D594" s="1" t="s">
        <v>276</v>
      </c>
    </row>
    <row r="595" spans="2:4" x14ac:dyDescent="0.2">
      <c r="B595" s="1">
        <v>7</v>
      </c>
      <c r="C595" s="1" t="s">
        <v>232</v>
      </c>
      <c r="D595" s="1" t="s">
        <v>233</v>
      </c>
    </row>
    <row r="596" spans="2:4" x14ac:dyDescent="0.2">
      <c r="D596" s="1" t="s">
        <v>127</v>
      </c>
    </row>
    <row r="597" spans="2:4" x14ac:dyDescent="0.2">
      <c r="C597" s="1" t="s">
        <v>277</v>
      </c>
      <c r="D597" s="1" t="s">
        <v>127</v>
      </c>
    </row>
    <row r="598" spans="2:4" x14ac:dyDescent="0.2">
      <c r="D598" s="1" t="s">
        <v>278</v>
      </c>
    </row>
    <row r="599" spans="2:4" x14ac:dyDescent="0.2">
      <c r="D599" s="1" t="s">
        <v>279</v>
      </c>
    </row>
    <row r="600" spans="2:4" x14ac:dyDescent="0.2">
      <c r="B600" s="1"/>
      <c r="C600" s="1"/>
      <c r="D600" s="1"/>
    </row>
    <row r="601" spans="2:4" x14ac:dyDescent="0.2">
      <c r="D601" s="1"/>
    </row>
    <row r="602" spans="2:4" x14ac:dyDescent="0.2">
      <c r="C602" s="1"/>
      <c r="D602" s="1"/>
    </row>
    <row r="603" spans="2:4" x14ac:dyDescent="0.2">
      <c r="D603" s="1"/>
    </row>
    <row r="604" spans="2:4" x14ac:dyDescent="0.2">
      <c r="B604" s="1"/>
      <c r="C604" s="1"/>
      <c r="D604" s="1"/>
    </row>
    <row r="605" spans="2:4" x14ac:dyDescent="0.2">
      <c r="D605" s="1"/>
    </row>
    <row r="606" spans="2:4" x14ac:dyDescent="0.2">
      <c r="C606" s="1"/>
      <c r="D606" s="1"/>
    </row>
    <row r="607" spans="2:4" x14ac:dyDescent="0.2">
      <c r="D607" s="1"/>
    </row>
    <row r="608" spans="2:4" x14ac:dyDescent="0.2">
      <c r="B608" s="1"/>
      <c r="C608" s="1"/>
      <c r="D608" s="1"/>
    </row>
    <row r="609" spans="2:4" x14ac:dyDescent="0.2">
      <c r="D609" s="1"/>
    </row>
    <row r="610" spans="2:4" x14ac:dyDescent="0.2">
      <c r="C610" s="1"/>
      <c r="D610" s="1"/>
    </row>
    <row r="611" spans="2:4" x14ac:dyDescent="0.2">
      <c r="D611" s="1"/>
    </row>
    <row r="612" spans="2:4" x14ac:dyDescent="0.2">
      <c r="D612" s="1"/>
    </row>
    <row r="613" spans="2:4" x14ac:dyDescent="0.2">
      <c r="B613" s="1"/>
      <c r="C613" s="1"/>
      <c r="D613" s="1"/>
    </row>
    <row r="614" spans="2:4" x14ac:dyDescent="0.2">
      <c r="C614" s="1"/>
      <c r="D614" s="1"/>
    </row>
    <row r="615" spans="2:4" x14ac:dyDescent="0.2">
      <c r="B615" s="1"/>
      <c r="C615" s="1"/>
      <c r="D615" s="1"/>
    </row>
    <row r="616" spans="2:4" x14ac:dyDescent="0.2">
      <c r="D616" s="1"/>
    </row>
    <row r="617" spans="2:4" x14ac:dyDescent="0.2">
      <c r="C617" s="1"/>
      <c r="D617" s="1"/>
    </row>
    <row r="618" spans="2:4" x14ac:dyDescent="0.2">
      <c r="D618" s="1"/>
    </row>
    <row r="619" spans="2:4" x14ac:dyDescent="0.2">
      <c r="D619" s="1"/>
    </row>
    <row r="620" spans="2:4" x14ac:dyDescent="0.2">
      <c r="B620" s="1"/>
      <c r="C620" s="1"/>
      <c r="D620" s="1"/>
    </row>
    <row r="621" spans="2:4" x14ac:dyDescent="0.2">
      <c r="C621" s="1"/>
      <c r="D621" s="1"/>
    </row>
    <row r="622" spans="2:4" x14ac:dyDescent="0.2">
      <c r="B622" s="1"/>
      <c r="C622" s="1"/>
      <c r="D622" s="1"/>
    </row>
    <row r="623" spans="2:4" x14ac:dyDescent="0.2">
      <c r="C623" s="1"/>
      <c r="D623" s="1"/>
    </row>
    <row r="624" spans="2:4" x14ac:dyDescent="0.2">
      <c r="D624" s="1"/>
    </row>
    <row r="625" spans="1:4" x14ac:dyDescent="0.2">
      <c r="A625" s="1" t="s">
        <v>280</v>
      </c>
    </row>
    <row r="626" spans="1:4" x14ac:dyDescent="0.2">
      <c r="C626" s="1" t="s">
        <v>1</v>
      </c>
      <c r="D626" s="1" t="s">
        <v>2</v>
      </c>
    </row>
    <row r="627" spans="1:4" x14ac:dyDescent="0.2">
      <c r="B627" s="1">
        <v>1</v>
      </c>
      <c r="C627" s="1" t="s">
        <v>281</v>
      </c>
      <c r="D627" s="1" t="s">
        <v>173</v>
      </c>
    </row>
    <row r="628" spans="1:4" x14ac:dyDescent="0.2">
      <c r="D628" s="1" t="s">
        <v>282</v>
      </c>
    </row>
    <row r="630" spans="1:4" x14ac:dyDescent="0.2">
      <c r="A630" s="1" t="s">
        <v>283</v>
      </c>
    </row>
    <row r="631" spans="1:4" x14ac:dyDescent="0.2">
      <c r="C631" s="1" t="s">
        <v>1</v>
      </c>
      <c r="D631" s="1" t="s">
        <v>2</v>
      </c>
    </row>
    <row r="632" spans="1:4" x14ac:dyDescent="0.2">
      <c r="B632" s="1">
        <v>1</v>
      </c>
      <c r="C632" s="1" t="s">
        <v>284</v>
      </c>
      <c r="D632" s="1" t="s">
        <v>285</v>
      </c>
    </row>
    <row r="633" spans="1:4" x14ac:dyDescent="0.2">
      <c r="D633" s="1" t="s">
        <v>179</v>
      </c>
    </row>
    <row r="634" spans="1:4" x14ac:dyDescent="0.2">
      <c r="C634" s="1" t="s">
        <v>277</v>
      </c>
      <c r="D634" s="1" t="s">
        <v>127</v>
      </c>
    </row>
    <row r="635" spans="1:4" x14ac:dyDescent="0.2">
      <c r="D635" s="1" t="s">
        <v>278</v>
      </c>
    </row>
    <row r="636" spans="1:4" x14ac:dyDescent="0.2">
      <c r="D636" s="1" t="s">
        <v>279</v>
      </c>
    </row>
    <row r="637" spans="1:4" x14ac:dyDescent="0.2">
      <c r="B637" s="1">
        <v>2</v>
      </c>
      <c r="C637" s="1" t="s">
        <v>172</v>
      </c>
      <c r="D637" s="1" t="s">
        <v>173</v>
      </c>
    </row>
    <row r="638" spans="1:4" x14ac:dyDescent="0.2">
      <c r="D638" s="1" t="s">
        <v>75</v>
      </c>
    </row>
    <row r="639" spans="1:4" x14ac:dyDescent="0.2">
      <c r="D639" s="1" t="s">
        <v>174</v>
      </c>
    </row>
    <row r="640" spans="1:4" x14ac:dyDescent="0.2">
      <c r="C640" s="1" t="s">
        <v>281</v>
      </c>
      <c r="D640" s="1" t="s">
        <v>173</v>
      </c>
    </row>
    <row r="641" spans="2:4" x14ac:dyDescent="0.2">
      <c r="D641" s="1" t="s">
        <v>282</v>
      </c>
    </row>
    <row r="642" spans="2:4" x14ac:dyDescent="0.2">
      <c r="B642" s="1">
        <v>3</v>
      </c>
      <c r="C642" s="1" t="s">
        <v>286</v>
      </c>
      <c r="D642" s="1" t="s">
        <v>287</v>
      </c>
    </row>
    <row r="643" spans="2:4" x14ac:dyDescent="0.2">
      <c r="D643" s="1" t="s">
        <v>288</v>
      </c>
    </row>
    <row r="644" spans="2:4" x14ac:dyDescent="0.2">
      <c r="C644" s="1" t="s">
        <v>289</v>
      </c>
      <c r="D644" s="1" t="s">
        <v>290</v>
      </c>
    </row>
    <row r="645" spans="2:4" x14ac:dyDescent="0.2">
      <c r="B645" s="1">
        <v>4</v>
      </c>
      <c r="C645" s="1" t="s">
        <v>291</v>
      </c>
      <c r="D645" s="1" t="s">
        <v>292</v>
      </c>
    </row>
    <row r="646" spans="2:4" x14ac:dyDescent="0.2">
      <c r="D646" s="1" t="s">
        <v>293</v>
      </c>
    </row>
    <row r="647" spans="2:4" x14ac:dyDescent="0.2">
      <c r="C647" s="1" t="s">
        <v>56</v>
      </c>
      <c r="D647" s="1" t="s">
        <v>31</v>
      </c>
    </row>
    <row r="648" spans="2:4" x14ac:dyDescent="0.2">
      <c r="D648" s="1" t="s">
        <v>57</v>
      </c>
    </row>
    <row r="649" spans="2:4" x14ac:dyDescent="0.2">
      <c r="B649" s="1">
        <v>5</v>
      </c>
      <c r="C649" s="1" t="s">
        <v>190</v>
      </c>
      <c r="D649" s="1" t="s">
        <v>75</v>
      </c>
    </row>
    <row r="650" spans="2:4" x14ac:dyDescent="0.2">
      <c r="D650" s="1" t="s">
        <v>191</v>
      </c>
    </row>
    <row r="651" spans="2:4" x14ac:dyDescent="0.2">
      <c r="C651" s="1" t="s">
        <v>294</v>
      </c>
      <c r="D651" s="1" t="s">
        <v>295</v>
      </c>
    </row>
    <row r="652" spans="2:4" x14ac:dyDescent="0.2">
      <c r="D652" s="1" t="s">
        <v>173</v>
      </c>
    </row>
    <row r="653" spans="2:4" x14ac:dyDescent="0.2">
      <c r="B653" s="1">
        <v>6</v>
      </c>
      <c r="C653" s="1" t="s">
        <v>14</v>
      </c>
      <c r="D653" s="1" t="s">
        <v>15</v>
      </c>
    </row>
    <row r="654" spans="2:4" x14ac:dyDescent="0.2">
      <c r="D654" s="1" t="s">
        <v>4</v>
      </c>
    </row>
    <row r="655" spans="2:4" x14ac:dyDescent="0.2">
      <c r="D655" s="1" t="s">
        <v>16</v>
      </c>
    </row>
    <row r="656" spans="2:4" x14ac:dyDescent="0.2">
      <c r="C656" s="1" t="s">
        <v>262</v>
      </c>
      <c r="D656" s="1" t="s">
        <v>263</v>
      </c>
    </row>
    <row r="657" spans="2:4" x14ac:dyDescent="0.2">
      <c r="D657" s="1" t="s">
        <v>264</v>
      </c>
    </row>
    <row r="658" spans="2:4" x14ac:dyDescent="0.2">
      <c r="B658" s="1">
        <v>7</v>
      </c>
      <c r="C658" s="1" t="s">
        <v>94</v>
      </c>
      <c r="D658" s="1" t="s">
        <v>95</v>
      </c>
    </row>
    <row r="659" spans="2:4" x14ac:dyDescent="0.2">
      <c r="D659" s="1" t="s">
        <v>96</v>
      </c>
    </row>
    <row r="660" spans="2:4" x14ac:dyDescent="0.2">
      <c r="C660" s="1" t="s">
        <v>272</v>
      </c>
      <c r="D660" s="1" t="s">
        <v>127</v>
      </c>
    </row>
    <row r="661" spans="2:4" x14ac:dyDescent="0.2">
      <c r="D661" s="1" t="s">
        <v>273</v>
      </c>
    </row>
    <row r="662" spans="2:4" x14ac:dyDescent="0.2">
      <c r="D662" s="1" t="s">
        <v>274</v>
      </c>
    </row>
    <row r="663" spans="2:4" x14ac:dyDescent="0.2">
      <c r="B663" s="1">
        <v>8</v>
      </c>
      <c r="C663" s="1" t="s">
        <v>296</v>
      </c>
      <c r="D663" s="1" t="s">
        <v>297</v>
      </c>
    </row>
    <row r="664" spans="2:4" x14ac:dyDescent="0.2">
      <c r="D664" s="1" t="s">
        <v>298</v>
      </c>
    </row>
    <row r="665" spans="2:4" x14ac:dyDescent="0.2">
      <c r="C665" s="1" t="s">
        <v>299</v>
      </c>
      <c r="D665" s="1" t="s">
        <v>300</v>
      </c>
    </row>
    <row r="666" spans="2:4" x14ac:dyDescent="0.2">
      <c r="D666" s="1" t="s">
        <v>301</v>
      </c>
    </row>
    <row r="667" spans="2:4" x14ac:dyDescent="0.2">
      <c r="B667" s="1">
        <v>9</v>
      </c>
      <c r="C667" s="1" t="s">
        <v>302</v>
      </c>
      <c r="D667" s="1" t="s">
        <v>303</v>
      </c>
    </row>
    <row r="668" spans="2:4" x14ac:dyDescent="0.2">
      <c r="C668" s="1" t="s">
        <v>36</v>
      </c>
      <c r="D668" s="1" t="s">
        <v>31</v>
      </c>
    </row>
    <row r="669" spans="2:4" x14ac:dyDescent="0.2">
      <c r="D669" s="1" t="s">
        <v>37</v>
      </c>
    </row>
    <row r="670" spans="2:4" x14ac:dyDescent="0.2">
      <c r="D670" s="1" t="s">
        <v>38</v>
      </c>
    </row>
    <row r="671" spans="2:4" x14ac:dyDescent="0.2">
      <c r="B671" s="1">
        <v>10</v>
      </c>
      <c r="C671" s="1" t="s">
        <v>304</v>
      </c>
      <c r="D671" s="1" t="s">
        <v>305</v>
      </c>
    </row>
    <row r="672" spans="2:4" x14ac:dyDescent="0.2">
      <c r="D672" s="1" t="s">
        <v>306</v>
      </c>
    </row>
    <row r="673" spans="2:4" x14ac:dyDescent="0.2">
      <c r="C673" s="1" t="s">
        <v>307</v>
      </c>
      <c r="D673" s="1" t="s">
        <v>308</v>
      </c>
    </row>
    <row r="674" spans="2:4" x14ac:dyDescent="0.2">
      <c r="D674" s="1" t="s">
        <v>309</v>
      </c>
    </row>
    <row r="675" spans="2:4" x14ac:dyDescent="0.2">
      <c r="D675" s="1" t="s">
        <v>310</v>
      </c>
    </row>
    <row r="676" spans="2:4" x14ac:dyDescent="0.2">
      <c r="B676" s="1">
        <v>11</v>
      </c>
      <c r="C676" s="1" t="s">
        <v>209</v>
      </c>
      <c r="D676" s="1" t="s">
        <v>210</v>
      </c>
    </row>
    <row r="677" spans="2:4" x14ac:dyDescent="0.2">
      <c r="D677" s="1" t="s">
        <v>211</v>
      </c>
    </row>
    <row r="678" spans="2:4" x14ac:dyDescent="0.2">
      <c r="D678" s="1" t="s">
        <v>75</v>
      </c>
    </row>
    <row r="679" spans="2:4" x14ac:dyDescent="0.2">
      <c r="C679" s="1" t="s">
        <v>311</v>
      </c>
      <c r="D679" s="1" t="s">
        <v>312</v>
      </c>
    </row>
    <row r="680" spans="2:4" x14ac:dyDescent="0.2">
      <c r="D680" s="1" t="s">
        <v>313</v>
      </c>
    </row>
    <row r="681" spans="2:4" x14ac:dyDescent="0.2">
      <c r="B681" s="1">
        <v>12</v>
      </c>
      <c r="C681" s="1" t="s">
        <v>212</v>
      </c>
      <c r="D681" s="1" t="s">
        <v>213</v>
      </c>
    </row>
    <row r="682" spans="2:4" x14ac:dyDescent="0.2">
      <c r="D682" s="1" t="s">
        <v>75</v>
      </c>
    </row>
    <row r="683" spans="2:4" x14ac:dyDescent="0.2">
      <c r="D683" s="1" t="s">
        <v>173</v>
      </c>
    </row>
    <row r="684" spans="2:4" x14ac:dyDescent="0.2">
      <c r="C684" s="1" t="s">
        <v>314</v>
      </c>
      <c r="D684" s="1" t="s">
        <v>315</v>
      </c>
    </row>
    <row r="685" spans="2:4" x14ac:dyDescent="0.2">
      <c r="B685" s="1">
        <v>13</v>
      </c>
      <c r="C685" s="1" t="s">
        <v>214</v>
      </c>
      <c r="D685" s="1" t="s">
        <v>215</v>
      </c>
    </row>
    <row r="686" spans="2:4" x14ac:dyDescent="0.2">
      <c r="D686" s="1" t="s">
        <v>75</v>
      </c>
    </row>
    <row r="687" spans="2:4" x14ac:dyDescent="0.2">
      <c r="D687" s="1" t="s">
        <v>216</v>
      </c>
    </row>
    <row r="688" spans="2:4" x14ac:dyDescent="0.2">
      <c r="C688" s="1" t="s">
        <v>316</v>
      </c>
      <c r="D688" s="1" t="s">
        <v>127</v>
      </c>
    </row>
    <row r="689" spans="2:4" x14ac:dyDescent="0.2">
      <c r="D689" s="1" t="s">
        <v>317</v>
      </c>
    </row>
    <row r="690" spans="2:4" x14ac:dyDescent="0.2">
      <c r="D690" s="1" t="s">
        <v>318</v>
      </c>
    </row>
    <row r="691" spans="2:4" x14ac:dyDescent="0.2">
      <c r="B691" s="1">
        <v>14</v>
      </c>
      <c r="C691" s="1" t="s">
        <v>319</v>
      </c>
      <c r="D691" s="1" t="s">
        <v>320</v>
      </c>
    </row>
    <row r="692" spans="2:4" x14ac:dyDescent="0.2">
      <c r="D692" s="1" t="s">
        <v>321</v>
      </c>
    </row>
    <row r="693" spans="2:4" x14ac:dyDescent="0.2">
      <c r="C693" s="1" t="s">
        <v>41</v>
      </c>
      <c r="D693" s="1" t="s">
        <v>42</v>
      </c>
    </row>
    <row r="694" spans="2:4" x14ac:dyDescent="0.2">
      <c r="D694" s="1" t="s">
        <v>43</v>
      </c>
    </row>
    <row r="695" spans="2:4" x14ac:dyDescent="0.2">
      <c r="D695" s="1" t="s">
        <v>31</v>
      </c>
    </row>
    <row r="696" spans="2:4" x14ac:dyDescent="0.2">
      <c r="B696" s="1"/>
      <c r="C696" s="1"/>
      <c r="D696" s="1"/>
    </row>
    <row r="697" spans="2:4" x14ac:dyDescent="0.2">
      <c r="D697" s="1"/>
    </row>
    <row r="698" spans="2:4" x14ac:dyDescent="0.2">
      <c r="D698" s="1"/>
    </row>
    <row r="699" spans="2:4" x14ac:dyDescent="0.2">
      <c r="C699" s="1"/>
      <c r="D699" s="1"/>
    </row>
    <row r="700" spans="2:4" x14ac:dyDescent="0.2">
      <c r="D700" s="1"/>
    </row>
    <row r="701" spans="2:4" x14ac:dyDescent="0.2">
      <c r="D701" s="1"/>
    </row>
    <row r="702" spans="2:4" x14ac:dyDescent="0.2">
      <c r="B702" s="1"/>
      <c r="C702" s="1"/>
      <c r="D702" s="1"/>
    </row>
    <row r="703" spans="2:4" x14ac:dyDescent="0.2">
      <c r="D703" s="1"/>
    </row>
    <row r="704" spans="2:4" x14ac:dyDescent="0.2">
      <c r="D704" s="1"/>
    </row>
    <row r="705" spans="2:4" x14ac:dyDescent="0.2">
      <c r="C705" s="1"/>
      <c r="D705" s="1"/>
    </row>
    <row r="706" spans="2:4" x14ac:dyDescent="0.2">
      <c r="D706" s="1"/>
    </row>
    <row r="707" spans="2:4" x14ac:dyDescent="0.2">
      <c r="D707" s="1"/>
    </row>
    <row r="708" spans="2:4" x14ac:dyDescent="0.2">
      <c r="B708" s="1"/>
      <c r="C708" s="1"/>
      <c r="D708" s="1"/>
    </row>
    <row r="709" spans="2:4" x14ac:dyDescent="0.2">
      <c r="D709" s="1"/>
    </row>
    <row r="710" spans="2:4" x14ac:dyDescent="0.2">
      <c r="D710" s="1"/>
    </row>
    <row r="711" spans="2:4" x14ac:dyDescent="0.2">
      <c r="C711" s="1"/>
      <c r="D711" s="1"/>
    </row>
    <row r="712" spans="2:4" x14ac:dyDescent="0.2">
      <c r="D712" s="1"/>
    </row>
    <row r="713" spans="2:4" x14ac:dyDescent="0.2">
      <c r="B713" s="1"/>
      <c r="C713" s="1"/>
      <c r="D713" s="1"/>
    </row>
    <row r="714" spans="2:4" x14ac:dyDescent="0.2">
      <c r="D714" s="1"/>
    </row>
    <row r="715" spans="2:4" x14ac:dyDescent="0.2">
      <c r="C715" s="1"/>
      <c r="D715" s="1"/>
    </row>
    <row r="716" spans="2:4" x14ac:dyDescent="0.2">
      <c r="B716" s="1"/>
      <c r="C716" s="1"/>
      <c r="D716" s="1"/>
    </row>
    <row r="717" spans="2:4" x14ac:dyDescent="0.2">
      <c r="D717" s="1"/>
    </row>
    <row r="718" spans="2:4" x14ac:dyDescent="0.2">
      <c r="D718" s="1"/>
    </row>
    <row r="719" spans="2:4" x14ac:dyDescent="0.2">
      <c r="C719" s="1"/>
      <c r="D719" s="1"/>
    </row>
    <row r="720" spans="2:4" x14ac:dyDescent="0.2">
      <c r="D720" s="1"/>
    </row>
    <row r="721" spans="1:4" x14ac:dyDescent="0.2">
      <c r="D721" s="1"/>
    </row>
    <row r="722" spans="1:4" x14ac:dyDescent="0.2">
      <c r="A722" s="1" t="s">
        <v>322</v>
      </c>
    </row>
    <row r="723" spans="1:4" x14ac:dyDescent="0.2">
      <c r="C723" s="1" t="s">
        <v>1</v>
      </c>
      <c r="D723" s="1" t="s">
        <v>2</v>
      </c>
    </row>
    <row r="724" spans="1:4" x14ac:dyDescent="0.2">
      <c r="B724" s="1">
        <v>1</v>
      </c>
      <c r="C724" s="1" t="s">
        <v>323</v>
      </c>
      <c r="D724" s="1" t="s">
        <v>218</v>
      </c>
    </row>
    <row r="725" spans="1:4" x14ac:dyDescent="0.2">
      <c r="D725" s="1" t="s">
        <v>173</v>
      </c>
    </row>
    <row r="726" spans="1:4" x14ac:dyDescent="0.2">
      <c r="C726" s="1" t="s">
        <v>134</v>
      </c>
    </row>
    <row r="727" spans="1:4" x14ac:dyDescent="0.2">
      <c r="A727" s="1" t="s">
        <v>324</v>
      </c>
    </row>
    <row r="728" spans="1:4" x14ac:dyDescent="0.2">
      <c r="C728" s="1" t="s">
        <v>1</v>
      </c>
      <c r="D728" s="1" t="s">
        <v>2</v>
      </c>
    </row>
    <row r="729" spans="1:4" x14ac:dyDescent="0.2">
      <c r="B729" s="1">
        <v>1</v>
      </c>
      <c r="C729" s="1" t="s">
        <v>284</v>
      </c>
      <c r="D729" s="1" t="s">
        <v>285</v>
      </c>
    </row>
    <row r="730" spans="1:4" x14ac:dyDescent="0.2">
      <c r="D730" s="1" t="s">
        <v>179</v>
      </c>
    </row>
    <row r="731" spans="1:4" x14ac:dyDescent="0.2">
      <c r="B731" s="1">
        <v>2</v>
      </c>
      <c r="C731" s="1" t="s">
        <v>325</v>
      </c>
      <c r="D731" s="1" t="s">
        <v>179</v>
      </c>
    </row>
    <row r="732" spans="1:4" x14ac:dyDescent="0.2">
      <c r="D732" s="1" t="s">
        <v>326</v>
      </c>
    </row>
    <row r="733" spans="1:4" x14ac:dyDescent="0.2">
      <c r="B733" s="1">
        <v>3</v>
      </c>
      <c r="C733" s="1" t="s">
        <v>327</v>
      </c>
      <c r="D733" s="1" t="s">
        <v>179</v>
      </c>
    </row>
    <row r="734" spans="1:4" x14ac:dyDescent="0.2">
      <c r="D734" s="1" t="s">
        <v>328</v>
      </c>
    </row>
    <row r="735" spans="1:4" x14ac:dyDescent="0.2">
      <c r="B735" s="1">
        <v>4</v>
      </c>
      <c r="C735" s="1" t="s">
        <v>329</v>
      </c>
      <c r="D735" s="1" t="s">
        <v>179</v>
      </c>
    </row>
    <row r="736" spans="1:4" x14ac:dyDescent="0.2">
      <c r="D736" s="1" t="s">
        <v>330</v>
      </c>
    </row>
    <row r="737" spans="2:4" x14ac:dyDescent="0.2">
      <c r="B737" s="1">
        <v>5</v>
      </c>
      <c r="C737" s="1" t="s">
        <v>331</v>
      </c>
      <c r="D737" s="1" t="s">
        <v>179</v>
      </c>
    </row>
    <row r="738" spans="2:4" x14ac:dyDescent="0.2">
      <c r="B738" s="1">
        <v>6</v>
      </c>
      <c r="C738" s="1" t="s">
        <v>332</v>
      </c>
      <c r="D738" s="1" t="s">
        <v>179</v>
      </c>
    </row>
    <row r="739" spans="2:4" x14ac:dyDescent="0.2">
      <c r="B739" s="1">
        <v>7</v>
      </c>
      <c r="C739" s="1" t="s">
        <v>333</v>
      </c>
      <c r="D739" s="1" t="s">
        <v>179</v>
      </c>
    </row>
    <row r="740" spans="2:4" x14ac:dyDescent="0.2">
      <c r="B740" s="1">
        <v>8</v>
      </c>
      <c r="C740" s="1" t="s">
        <v>334</v>
      </c>
      <c r="D740" s="1" t="s">
        <v>179</v>
      </c>
    </row>
    <row r="741" spans="2:4" x14ac:dyDescent="0.2">
      <c r="D741" s="1" t="s">
        <v>335</v>
      </c>
    </row>
    <row r="742" spans="2:4" x14ac:dyDescent="0.2">
      <c r="B742" s="1">
        <v>9</v>
      </c>
      <c r="C742" s="1" t="s">
        <v>336</v>
      </c>
      <c r="D742" s="1" t="s">
        <v>179</v>
      </c>
    </row>
    <row r="743" spans="2:4" x14ac:dyDescent="0.2">
      <c r="D743" s="1" t="s">
        <v>330</v>
      </c>
    </row>
    <row r="744" spans="2:4" x14ac:dyDescent="0.2">
      <c r="B744" s="1">
        <v>10</v>
      </c>
      <c r="C744" s="1" t="s">
        <v>337</v>
      </c>
      <c r="D744" s="1" t="s">
        <v>179</v>
      </c>
    </row>
    <row r="745" spans="2:4" x14ac:dyDescent="0.2">
      <c r="D745" s="1" t="s">
        <v>338</v>
      </c>
    </row>
    <row r="746" spans="2:4" x14ac:dyDescent="0.2">
      <c r="D746" s="1" t="s">
        <v>339</v>
      </c>
    </row>
    <row r="747" spans="2:4" x14ac:dyDescent="0.2">
      <c r="B747" s="1">
        <v>11</v>
      </c>
      <c r="C747" s="1" t="s">
        <v>340</v>
      </c>
      <c r="D747" s="1" t="s">
        <v>341</v>
      </c>
    </row>
    <row r="748" spans="2:4" x14ac:dyDescent="0.2">
      <c r="D748" s="1" t="s">
        <v>179</v>
      </c>
    </row>
    <row r="749" spans="2:4" x14ac:dyDescent="0.2">
      <c r="D749" s="1" t="s">
        <v>342</v>
      </c>
    </row>
    <row r="750" spans="2:4" x14ac:dyDescent="0.2">
      <c r="B750" s="1">
        <v>12</v>
      </c>
      <c r="C750" s="1" t="s">
        <v>178</v>
      </c>
      <c r="D750" s="1" t="s">
        <v>75</v>
      </c>
    </row>
    <row r="751" spans="2:4" x14ac:dyDescent="0.2">
      <c r="D751" s="1" t="s">
        <v>179</v>
      </c>
    </row>
    <row r="752" spans="2:4" x14ac:dyDescent="0.2">
      <c r="B752" s="1">
        <v>13</v>
      </c>
      <c r="C752" s="1" t="s">
        <v>343</v>
      </c>
      <c r="D752" s="1" t="s">
        <v>179</v>
      </c>
    </row>
    <row r="753" spans="2:4" x14ac:dyDescent="0.2">
      <c r="B753" s="1">
        <v>14</v>
      </c>
      <c r="C753" s="1" t="s">
        <v>344</v>
      </c>
      <c r="D753" s="1" t="s">
        <v>179</v>
      </c>
    </row>
    <row r="754" spans="2:4" x14ac:dyDescent="0.2">
      <c r="D754" s="1" t="s">
        <v>330</v>
      </c>
    </row>
    <row r="755" spans="2:4" x14ac:dyDescent="0.2">
      <c r="B755" s="1">
        <v>15</v>
      </c>
      <c r="C755" s="1" t="s">
        <v>345</v>
      </c>
      <c r="D755" s="1" t="s">
        <v>346</v>
      </c>
    </row>
    <row r="756" spans="2:4" x14ac:dyDescent="0.2">
      <c r="D756" s="1" t="s">
        <v>179</v>
      </c>
    </row>
    <row r="757" spans="2:4" x14ac:dyDescent="0.2">
      <c r="B757" s="1">
        <v>16</v>
      </c>
      <c r="C757" s="1" t="s">
        <v>347</v>
      </c>
      <c r="D757" s="1" t="s">
        <v>348</v>
      </c>
    </row>
    <row r="758" spans="2:4" x14ac:dyDescent="0.2">
      <c r="D758" s="1" t="s">
        <v>179</v>
      </c>
    </row>
    <row r="759" spans="2:4" x14ac:dyDescent="0.2">
      <c r="B759" s="1">
        <v>17</v>
      </c>
      <c r="C759" s="1" t="s">
        <v>349</v>
      </c>
      <c r="D759" s="1" t="s">
        <v>179</v>
      </c>
    </row>
    <row r="760" spans="2:4" x14ac:dyDescent="0.2">
      <c r="D760" s="1" t="s">
        <v>350</v>
      </c>
    </row>
    <row r="761" spans="2:4" x14ac:dyDescent="0.2">
      <c r="B761" s="1">
        <v>18</v>
      </c>
      <c r="C761" s="1" t="s">
        <v>351</v>
      </c>
      <c r="D761" s="1" t="s">
        <v>352</v>
      </c>
    </row>
    <row r="762" spans="2:4" x14ac:dyDescent="0.2">
      <c r="D762" s="1" t="s">
        <v>179</v>
      </c>
    </row>
    <row r="763" spans="2:4" x14ac:dyDescent="0.2">
      <c r="B763" s="1">
        <v>19</v>
      </c>
      <c r="C763" s="1" t="s">
        <v>353</v>
      </c>
      <c r="D763" s="1" t="s">
        <v>354</v>
      </c>
    </row>
    <row r="764" spans="2:4" x14ac:dyDescent="0.2">
      <c r="D764" s="1" t="s">
        <v>179</v>
      </c>
    </row>
    <row r="765" spans="2:4" x14ac:dyDescent="0.2">
      <c r="D765" s="1" t="s">
        <v>355</v>
      </c>
    </row>
    <row r="766" spans="2:4" x14ac:dyDescent="0.2">
      <c r="B766" s="1">
        <v>20</v>
      </c>
      <c r="C766" s="1" t="s">
        <v>356</v>
      </c>
      <c r="D766" s="1" t="s">
        <v>357</v>
      </c>
    </row>
    <row r="767" spans="2:4" x14ac:dyDescent="0.2">
      <c r="D767" s="1" t="s">
        <v>358</v>
      </c>
    </row>
    <row r="768" spans="2:4" x14ac:dyDescent="0.2"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D771" s="1"/>
    </row>
    <row r="772" spans="2:4" x14ac:dyDescent="0.2">
      <c r="B772" s="1"/>
      <c r="C772" s="1"/>
      <c r="D772" s="1"/>
    </row>
    <row r="773" spans="2:4" x14ac:dyDescent="0.2">
      <c r="D773" s="1"/>
    </row>
    <row r="774" spans="2:4" x14ac:dyDescent="0.2">
      <c r="B774" s="1"/>
      <c r="C774" s="1"/>
      <c r="D774" s="1"/>
    </row>
    <row r="775" spans="2:4" x14ac:dyDescent="0.2">
      <c r="D775" s="1"/>
    </row>
    <row r="776" spans="2:4" x14ac:dyDescent="0.2"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D780" s="1"/>
    </row>
    <row r="781" spans="2:4" x14ac:dyDescent="0.2">
      <c r="B781" s="1"/>
      <c r="C781" s="1"/>
      <c r="D781" s="1"/>
    </row>
    <row r="782" spans="2:4" x14ac:dyDescent="0.2">
      <c r="D782" s="1"/>
    </row>
    <row r="783" spans="2:4" x14ac:dyDescent="0.2">
      <c r="B783" s="1"/>
      <c r="C783" s="1"/>
      <c r="D783" s="1"/>
    </row>
    <row r="784" spans="2:4" x14ac:dyDescent="0.2">
      <c r="D784" s="1"/>
    </row>
    <row r="785" spans="2:4" x14ac:dyDescent="0.2">
      <c r="D785" s="1"/>
    </row>
    <row r="786" spans="2:4" x14ac:dyDescent="0.2">
      <c r="B786" s="1"/>
      <c r="C786" s="1"/>
      <c r="D786" s="1"/>
    </row>
    <row r="787" spans="2:4" x14ac:dyDescent="0.2">
      <c r="D787" s="1"/>
    </row>
    <row r="788" spans="2:4" x14ac:dyDescent="0.2">
      <c r="D788" s="1"/>
    </row>
    <row r="789" spans="2:4" x14ac:dyDescent="0.2">
      <c r="B789" s="1"/>
      <c r="C789" s="1"/>
      <c r="D789" s="1"/>
    </row>
    <row r="790" spans="2:4" x14ac:dyDescent="0.2"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D793" s="1"/>
    </row>
    <row r="794" spans="2:4" x14ac:dyDescent="0.2"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D797" s="1"/>
    </row>
    <row r="798" spans="2:4" x14ac:dyDescent="0.2">
      <c r="B798" s="1"/>
      <c r="C798" s="1"/>
      <c r="D798" s="1"/>
    </row>
    <row r="799" spans="2:4" x14ac:dyDescent="0.2">
      <c r="D799" s="1"/>
    </row>
    <row r="800" spans="2:4" x14ac:dyDescent="0.2">
      <c r="B800" s="1"/>
      <c r="C800" s="1"/>
      <c r="D800" s="1"/>
    </row>
    <row r="801" spans="1:4" x14ac:dyDescent="0.2">
      <c r="D801" s="1"/>
    </row>
    <row r="802" spans="1:4" x14ac:dyDescent="0.2">
      <c r="B802" s="1"/>
      <c r="C802" s="1"/>
      <c r="D802" s="1"/>
    </row>
    <row r="803" spans="1:4" x14ac:dyDescent="0.2">
      <c r="D803" s="1"/>
    </row>
    <row r="804" spans="1:4" x14ac:dyDescent="0.2">
      <c r="B804" s="1"/>
      <c r="C804" s="1"/>
      <c r="D804" s="1"/>
    </row>
    <row r="805" spans="1:4" x14ac:dyDescent="0.2">
      <c r="D805" s="1" t="s">
        <v>359</v>
      </c>
    </row>
    <row r="806" spans="1:4" x14ac:dyDescent="0.2">
      <c r="A806" s="1" t="s">
        <v>360</v>
      </c>
    </row>
    <row r="807" spans="1:4" x14ac:dyDescent="0.2">
      <c r="C807" s="1" t="s">
        <v>1</v>
      </c>
      <c r="D807" s="1" t="s">
        <v>2</v>
      </c>
    </row>
    <row r="808" spans="1:4" x14ac:dyDescent="0.2">
      <c r="B808" s="1">
        <v>1</v>
      </c>
      <c r="C808" s="1" t="s">
        <v>361</v>
      </c>
      <c r="D808" s="1" t="s">
        <v>362</v>
      </c>
    </row>
    <row r="809" spans="1:4" x14ac:dyDescent="0.2">
      <c r="D809" s="1" t="s">
        <v>179</v>
      </c>
    </row>
    <row r="810" spans="1:4" x14ac:dyDescent="0.2">
      <c r="D810" s="1" t="s">
        <v>363</v>
      </c>
    </row>
    <row r="811" spans="1:4" x14ac:dyDescent="0.2">
      <c r="A811" s="1" t="s">
        <v>364</v>
      </c>
    </row>
    <row r="812" spans="1:4" x14ac:dyDescent="0.2">
      <c r="C812" s="1" t="s">
        <v>1</v>
      </c>
      <c r="D812" s="1" t="s">
        <v>2</v>
      </c>
    </row>
    <row r="813" spans="1:4" x14ac:dyDescent="0.2">
      <c r="B813" s="1">
        <v>1</v>
      </c>
      <c r="C813" s="1" t="s">
        <v>365</v>
      </c>
      <c r="D813" s="1" t="s">
        <v>366</v>
      </c>
    </row>
    <row r="814" spans="1:4" x14ac:dyDescent="0.2">
      <c r="D814" s="1" t="s">
        <v>308</v>
      </c>
    </row>
    <row r="815" spans="1:4" x14ac:dyDescent="0.2">
      <c r="B815" s="1">
        <v>2</v>
      </c>
      <c r="C815" s="1" t="s">
        <v>367</v>
      </c>
      <c r="D815" s="1" t="s">
        <v>368</v>
      </c>
    </row>
    <row r="816" spans="1:4" x14ac:dyDescent="0.2">
      <c r="D816" s="1" t="s">
        <v>308</v>
      </c>
    </row>
    <row r="817" spans="2:4" x14ac:dyDescent="0.2">
      <c r="B817" s="1">
        <v>3</v>
      </c>
      <c r="C817" s="1" t="s">
        <v>369</v>
      </c>
      <c r="D817" s="1" t="s">
        <v>370</v>
      </c>
    </row>
    <row r="818" spans="2:4" x14ac:dyDescent="0.2">
      <c r="D818" s="1" t="s">
        <v>308</v>
      </c>
    </row>
    <row r="819" spans="2:4" x14ac:dyDescent="0.2">
      <c r="B819" s="1">
        <v>4</v>
      </c>
      <c r="C819" s="1" t="s">
        <v>371</v>
      </c>
      <c r="D819" s="1" t="s">
        <v>308</v>
      </c>
    </row>
    <row r="820" spans="2:4" x14ac:dyDescent="0.2">
      <c r="D820" s="1" t="s">
        <v>372</v>
      </c>
    </row>
    <row r="821" spans="2:4" x14ac:dyDescent="0.2">
      <c r="B821" s="1">
        <v>5</v>
      </c>
      <c r="C821" s="1" t="s">
        <v>373</v>
      </c>
      <c r="D821" s="1" t="s">
        <v>374</v>
      </c>
    </row>
    <row r="822" spans="2:4" x14ac:dyDescent="0.2">
      <c r="D822" s="1" t="s">
        <v>308</v>
      </c>
    </row>
    <row r="823" spans="2:4" x14ac:dyDescent="0.2">
      <c r="D823" s="1" t="s">
        <v>375</v>
      </c>
    </row>
    <row r="824" spans="2:4" x14ac:dyDescent="0.2">
      <c r="B824" s="1">
        <v>6</v>
      </c>
      <c r="C824" s="1" t="s">
        <v>376</v>
      </c>
      <c r="D824" s="1" t="s">
        <v>308</v>
      </c>
    </row>
    <row r="825" spans="2:4" x14ac:dyDescent="0.2">
      <c r="D825" s="1" t="s">
        <v>377</v>
      </c>
    </row>
    <row r="826" spans="2:4" x14ac:dyDescent="0.2">
      <c r="D826" s="1" t="s">
        <v>378</v>
      </c>
    </row>
    <row r="827" spans="2:4" x14ac:dyDescent="0.2">
      <c r="B827" s="1">
        <v>7</v>
      </c>
      <c r="C827" s="1" t="s">
        <v>379</v>
      </c>
      <c r="D827" s="1" t="s">
        <v>380</v>
      </c>
    </row>
    <row r="828" spans="2:4" x14ac:dyDescent="0.2">
      <c r="D828" s="1" t="s">
        <v>308</v>
      </c>
    </row>
    <row r="829" spans="2:4" x14ac:dyDescent="0.2">
      <c r="B829" s="1">
        <v>8</v>
      </c>
      <c r="C829" s="1" t="s">
        <v>307</v>
      </c>
      <c r="D829" s="1" t="s">
        <v>308</v>
      </c>
    </row>
    <row r="830" spans="2:4" x14ac:dyDescent="0.2">
      <c r="D830" s="1" t="s">
        <v>309</v>
      </c>
    </row>
    <row r="831" spans="2:4" x14ac:dyDescent="0.2">
      <c r="D831" s="1" t="s">
        <v>310</v>
      </c>
    </row>
    <row r="832" spans="2:4" x14ac:dyDescent="0.2">
      <c r="B832" s="1">
        <v>9</v>
      </c>
      <c r="C832" s="1" t="s">
        <v>381</v>
      </c>
      <c r="D832" s="1" t="s">
        <v>382</v>
      </c>
    </row>
    <row r="833" spans="1:4" x14ac:dyDescent="0.2">
      <c r="D833" s="1"/>
    </row>
    <row r="834" spans="1:4" x14ac:dyDescent="0.2">
      <c r="D834" s="1"/>
    </row>
    <row r="835" spans="1:4" x14ac:dyDescent="0.2">
      <c r="B835" s="1"/>
      <c r="C835" s="1"/>
      <c r="D835" s="1"/>
    </row>
    <row r="836" spans="1:4" x14ac:dyDescent="0.2">
      <c r="D836" s="1"/>
    </row>
    <row r="837" spans="1:4" x14ac:dyDescent="0.2">
      <c r="B837" s="1"/>
      <c r="C837" s="1"/>
      <c r="D837" s="1"/>
    </row>
    <row r="838" spans="1:4" x14ac:dyDescent="0.2">
      <c r="D838" s="1"/>
    </row>
    <row r="839" spans="1:4" x14ac:dyDescent="0.2">
      <c r="B839" s="1"/>
      <c r="C839" s="1"/>
      <c r="D839" s="1"/>
    </row>
    <row r="840" spans="1:4" x14ac:dyDescent="0.2">
      <c r="D840" s="1"/>
    </row>
    <row r="841" spans="1:4" x14ac:dyDescent="0.2">
      <c r="D841" s="1"/>
    </row>
    <row r="842" spans="1:4" x14ac:dyDescent="0.2">
      <c r="B842" s="1"/>
      <c r="C842" s="1"/>
      <c r="D842" s="1"/>
    </row>
    <row r="843" spans="1:4" x14ac:dyDescent="0.2">
      <c r="D843" s="1"/>
    </row>
    <row r="844" spans="1:4" x14ac:dyDescent="0.2">
      <c r="D844" s="1"/>
    </row>
    <row r="845" spans="1:4" x14ac:dyDescent="0.2">
      <c r="B845" s="1"/>
      <c r="C845" s="1"/>
      <c r="D845" s="1"/>
    </row>
    <row r="846" spans="1:4" x14ac:dyDescent="0.2">
      <c r="D846" s="1"/>
    </row>
    <row r="847" spans="1:4" x14ac:dyDescent="0.2">
      <c r="B847" s="1"/>
      <c r="C847" s="1"/>
      <c r="D847" s="1"/>
    </row>
    <row r="848" spans="1:4" x14ac:dyDescent="0.2">
      <c r="A848" s="1" t="s">
        <v>383</v>
      </c>
    </row>
    <row r="849" spans="2:4" x14ac:dyDescent="0.2">
      <c r="C849" s="1" t="s">
        <v>1</v>
      </c>
      <c r="D849" s="1" t="s">
        <v>2</v>
      </c>
    </row>
    <row r="850" spans="2:4" x14ac:dyDescent="0.2">
      <c r="B850" s="1">
        <v>1</v>
      </c>
      <c r="C850" s="1" t="s">
        <v>384</v>
      </c>
      <c r="D850" s="1" t="s">
        <v>330</v>
      </c>
    </row>
    <row r="851" spans="2:4" x14ac:dyDescent="0.2">
      <c r="D851" s="1" t="s">
        <v>328</v>
      </c>
    </row>
    <row r="852" spans="2:4" x14ac:dyDescent="0.2">
      <c r="C852" s="1" t="s">
        <v>385</v>
      </c>
      <c r="D852" s="1" t="s">
        <v>267</v>
      </c>
    </row>
    <row r="853" spans="2:4" x14ac:dyDescent="0.2">
      <c r="D853" s="1" t="s">
        <v>386</v>
      </c>
    </row>
    <row r="854" spans="2:4" x14ac:dyDescent="0.2">
      <c r="D854" s="1" t="s">
        <v>387</v>
      </c>
    </row>
    <row r="855" spans="2:4" x14ac:dyDescent="0.2">
      <c r="B855" s="1">
        <v>2</v>
      </c>
      <c r="C855" s="1" t="s">
        <v>388</v>
      </c>
      <c r="D855" s="1" t="s">
        <v>389</v>
      </c>
    </row>
    <row r="856" spans="2:4" x14ac:dyDescent="0.2">
      <c r="C856" s="1" t="s">
        <v>390</v>
      </c>
      <c r="D856" s="1" t="s">
        <v>391</v>
      </c>
    </row>
    <row r="857" spans="2:4" x14ac:dyDescent="0.2">
      <c r="B857" s="1">
        <v>3</v>
      </c>
      <c r="C857" s="1" t="s">
        <v>166</v>
      </c>
      <c r="D857" s="1" t="s">
        <v>75</v>
      </c>
    </row>
    <row r="858" spans="2:4" x14ac:dyDescent="0.2">
      <c r="D858" s="1" t="s">
        <v>167</v>
      </c>
    </row>
    <row r="859" spans="2:4" x14ac:dyDescent="0.2">
      <c r="C859" s="1" t="s">
        <v>194</v>
      </c>
      <c r="D859" s="1" t="s">
        <v>75</v>
      </c>
    </row>
    <row r="860" spans="2:4" x14ac:dyDescent="0.2">
      <c r="D860" s="1" t="s">
        <v>195</v>
      </c>
    </row>
    <row r="861" spans="2:4" x14ac:dyDescent="0.2">
      <c r="B861" s="1">
        <v>4</v>
      </c>
      <c r="C861" s="1" t="s">
        <v>325</v>
      </c>
      <c r="D861" s="1" t="s">
        <v>179</v>
      </c>
    </row>
    <row r="862" spans="2:4" x14ac:dyDescent="0.2">
      <c r="D862" s="1" t="s">
        <v>326</v>
      </c>
    </row>
    <row r="863" spans="2:4" x14ac:dyDescent="0.2">
      <c r="C863" s="1" t="s">
        <v>356</v>
      </c>
      <c r="D863" s="1" t="s">
        <v>357</v>
      </c>
    </row>
    <row r="864" spans="2:4" x14ac:dyDescent="0.2">
      <c r="D864" s="1" t="s">
        <v>358</v>
      </c>
    </row>
    <row r="865" spans="2:4" x14ac:dyDescent="0.2">
      <c r="D865" s="1" t="s">
        <v>179</v>
      </c>
    </row>
    <row r="866" spans="2:4" x14ac:dyDescent="0.2">
      <c r="B866" s="1">
        <v>5</v>
      </c>
      <c r="C866" s="1" t="s">
        <v>392</v>
      </c>
      <c r="D866" s="1" t="s">
        <v>328</v>
      </c>
    </row>
    <row r="867" spans="2:4" x14ac:dyDescent="0.2">
      <c r="D867" s="1" t="s">
        <v>393</v>
      </c>
    </row>
    <row r="868" spans="2:4" x14ac:dyDescent="0.2">
      <c r="D868" s="1" t="s">
        <v>394</v>
      </c>
    </row>
    <row r="869" spans="2:4" x14ac:dyDescent="0.2">
      <c r="C869" s="1" t="s">
        <v>395</v>
      </c>
      <c r="D869" s="1" t="s">
        <v>179</v>
      </c>
    </row>
    <row r="870" spans="2:4" x14ac:dyDescent="0.2">
      <c r="D870" s="1" t="s">
        <v>359</v>
      </c>
    </row>
    <row r="871" spans="2:4" x14ac:dyDescent="0.2">
      <c r="B871" s="1">
        <v>6</v>
      </c>
      <c r="C871" s="1" t="s">
        <v>396</v>
      </c>
      <c r="D871" s="1" t="s">
        <v>397</v>
      </c>
    </row>
    <row r="872" spans="2:4" x14ac:dyDescent="0.2">
      <c r="C872" s="1" t="s">
        <v>185</v>
      </c>
      <c r="D872" s="1" t="s">
        <v>75</v>
      </c>
    </row>
    <row r="873" spans="2:4" x14ac:dyDescent="0.2">
      <c r="D873" s="1" t="s">
        <v>186</v>
      </c>
    </row>
    <row r="874" spans="2:4" x14ac:dyDescent="0.2">
      <c r="D874" s="1" t="s">
        <v>187</v>
      </c>
    </row>
    <row r="875" spans="2:4" x14ac:dyDescent="0.2">
      <c r="B875" s="1">
        <v>7</v>
      </c>
      <c r="C875" s="1" t="s">
        <v>329</v>
      </c>
      <c r="D875" s="1" t="s">
        <v>179</v>
      </c>
    </row>
    <row r="876" spans="2:4" x14ac:dyDescent="0.2">
      <c r="D876" s="1" t="s">
        <v>330</v>
      </c>
    </row>
    <row r="877" spans="2:4" x14ac:dyDescent="0.2">
      <c r="C877" s="1" t="s">
        <v>344</v>
      </c>
      <c r="D877" s="1" t="s">
        <v>179</v>
      </c>
    </row>
    <row r="878" spans="2:4" x14ac:dyDescent="0.2">
      <c r="D878" s="1" t="s">
        <v>330</v>
      </c>
    </row>
    <row r="879" spans="2:4" x14ac:dyDescent="0.2">
      <c r="B879" s="1">
        <v>8</v>
      </c>
      <c r="C879" s="1" t="s">
        <v>398</v>
      </c>
      <c r="D879" s="1" t="s">
        <v>330</v>
      </c>
    </row>
    <row r="880" spans="2:4" x14ac:dyDescent="0.2">
      <c r="D880" s="1" t="s">
        <v>267</v>
      </c>
    </row>
    <row r="881" spans="2:4" x14ac:dyDescent="0.2">
      <c r="C881" s="1" t="s">
        <v>336</v>
      </c>
      <c r="D881" s="1" t="s">
        <v>179</v>
      </c>
    </row>
    <row r="882" spans="2:4" x14ac:dyDescent="0.2">
      <c r="D882" s="1" t="s">
        <v>330</v>
      </c>
    </row>
    <row r="883" spans="2:4" x14ac:dyDescent="0.2">
      <c r="B883" s="1">
        <v>9</v>
      </c>
      <c r="C883" s="1" t="s">
        <v>399</v>
      </c>
      <c r="D883" s="1" t="s">
        <v>400</v>
      </c>
    </row>
    <row r="884" spans="2:4" x14ac:dyDescent="0.2">
      <c r="C884" s="1" t="s">
        <v>401</v>
      </c>
      <c r="D884" s="1" t="s">
        <v>402</v>
      </c>
    </row>
    <row r="885" spans="2:4" x14ac:dyDescent="0.2">
      <c r="D885" s="1" t="s">
        <v>403</v>
      </c>
    </row>
    <row r="886" spans="2:4" x14ac:dyDescent="0.2">
      <c r="B886" s="1">
        <v>10</v>
      </c>
      <c r="C886" s="1" t="s">
        <v>404</v>
      </c>
      <c r="D886" s="1" t="s">
        <v>405</v>
      </c>
    </row>
    <row r="887" spans="2:4" x14ac:dyDescent="0.2">
      <c r="D887" s="1" t="s">
        <v>406</v>
      </c>
    </row>
    <row r="888" spans="2:4" x14ac:dyDescent="0.2">
      <c r="C888" s="1" t="s">
        <v>304</v>
      </c>
      <c r="D888" s="1" t="s">
        <v>305</v>
      </c>
    </row>
    <row r="889" spans="2:4" x14ac:dyDescent="0.2">
      <c r="D889" s="1" t="s">
        <v>306</v>
      </c>
    </row>
    <row r="890" spans="2:4" x14ac:dyDescent="0.2">
      <c r="B890" s="1">
        <v>11</v>
      </c>
      <c r="C890" s="1" t="s">
        <v>361</v>
      </c>
      <c r="D890" s="1" t="s">
        <v>362</v>
      </c>
    </row>
    <row r="891" spans="2:4" x14ac:dyDescent="0.2">
      <c r="D891" s="1" t="s">
        <v>179</v>
      </c>
    </row>
    <row r="892" spans="2:4" x14ac:dyDescent="0.2">
      <c r="D892" s="1" t="s">
        <v>363</v>
      </c>
    </row>
    <row r="893" spans="2:4" x14ac:dyDescent="0.2">
      <c r="C893" s="1" t="s">
        <v>407</v>
      </c>
      <c r="D893" s="1" t="s">
        <v>179</v>
      </c>
    </row>
    <row r="894" spans="2:4" x14ac:dyDescent="0.2">
      <c r="D894" s="1" t="s">
        <v>408</v>
      </c>
    </row>
    <row r="895" spans="2:4" x14ac:dyDescent="0.2">
      <c r="B895" s="1">
        <v>12</v>
      </c>
      <c r="C895" s="1" t="s">
        <v>182</v>
      </c>
      <c r="D895" s="1" t="s">
        <v>183</v>
      </c>
    </row>
    <row r="896" spans="2:4" x14ac:dyDescent="0.2">
      <c r="D896" s="1" t="s">
        <v>75</v>
      </c>
    </row>
    <row r="897" spans="2:4" x14ac:dyDescent="0.2">
      <c r="C897" s="1" t="s">
        <v>347</v>
      </c>
      <c r="D897" s="1" t="s">
        <v>348</v>
      </c>
    </row>
    <row r="898" spans="2:4" x14ac:dyDescent="0.2">
      <c r="D898" s="1" t="s">
        <v>179</v>
      </c>
    </row>
    <row r="899" spans="2:4" x14ac:dyDescent="0.2">
      <c r="B899" s="1">
        <v>13</v>
      </c>
      <c r="C899" s="1" t="s">
        <v>188</v>
      </c>
      <c r="D899" s="1" t="s">
        <v>75</v>
      </c>
    </row>
    <row r="900" spans="2:4" x14ac:dyDescent="0.2">
      <c r="D900" s="1" t="s">
        <v>189</v>
      </c>
    </row>
    <row r="901" spans="2:4" x14ac:dyDescent="0.2">
      <c r="C901" s="1" t="s">
        <v>409</v>
      </c>
      <c r="D901" s="1" t="s">
        <v>410</v>
      </c>
    </row>
    <row r="902" spans="2:4" x14ac:dyDescent="0.2">
      <c r="D902" s="1" t="s">
        <v>179</v>
      </c>
    </row>
    <row r="903" spans="2:4" x14ac:dyDescent="0.2">
      <c r="B903" s="1">
        <v>14</v>
      </c>
      <c r="C903" s="1" t="s">
        <v>345</v>
      </c>
      <c r="D903" s="1" t="s">
        <v>346</v>
      </c>
    </row>
    <row r="904" spans="2:4" x14ac:dyDescent="0.2">
      <c r="D904" s="1" t="s">
        <v>179</v>
      </c>
    </row>
    <row r="905" spans="2:4" x14ac:dyDescent="0.2">
      <c r="C905" s="1" t="s">
        <v>411</v>
      </c>
      <c r="D905" s="1" t="s">
        <v>412</v>
      </c>
    </row>
    <row r="906" spans="2:4" x14ac:dyDescent="0.2">
      <c r="D906" s="1" t="s">
        <v>328</v>
      </c>
    </row>
    <row r="907" spans="2:4" x14ac:dyDescent="0.2">
      <c r="D907" s="1" t="s">
        <v>413</v>
      </c>
    </row>
    <row r="908" spans="2:4" x14ac:dyDescent="0.2">
      <c r="B908" s="1">
        <v>15</v>
      </c>
      <c r="C908" s="1" t="s">
        <v>414</v>
      </c>
      <c r="D908" s="1" t="s">
        <v>335</v>
      </c>
    </row>
    <row r="909" spans="2:4" x14ac:dyDescent="0.2">
      <c r="D909" s="1" t="s">
        <v>415</v>
      </c>
    </row>
    <row r="910" spans="2:4" x14ac:dyDescent="0.2">
      <c r="C910" s="1" t="s">
        <v>416</v>
      </c>
      <c r="D910" s="1" t="s">
        <v>417</v>
      </c>
    </row>
    <row r="911" spans="2:4" x14ac:dyDescent="0.2">
      <c r="B911" s="1">
        <v>16</v>
      </c>
      <c r="C911" s="1" t="s">
        <v>351</v>
      </c>
      <c r="D911" s="1" t="s">
        <v>352</v>
      </c>
    </row>
    <row r="912" spans="2:4" x14ac:dyDescent="0.2">
      <c r="D912" s="1" t="s">
        <v>179</v>
      </c>
    </row>
    <row r="913" spans="2:4" x14ac:dyDescent="0.2">
      <c r="C913" s="1" t="s">
        <v>418</v>
      </c>
      <c r="D913" s="1" t="s">
        <v>419</v>
      </c>
    </row>
    <row r="914" spans="2:4" x14ac:dyDescent="0.2">
      <c r="D914" s="1" t="s">
        <v>179</v>
      </c>
    </row>
    <row r="915" spans="2:4" x14ac:dyDescent="0.2">
      <c r="B915" s="1">
        <v>17</v>
      </c>
      <c r="C915" s="1" t="s">
        <v>199</v>
      </c>
      <c r="D915" s="1" t="s">
        <v>75</v>
      </c>
    </row>
    <row r="916" spans="2:4" x14ac:dyDescent="0.2">
      <c r="D916" s="1" t="s">
        <v>200</v>
      </c>
    </row>
    <row r="917" spans="2:4" x14ac:dyDescent="0.2">
      <c r="D917" s="1" t="s">
        <v>201</v>
      </c>
    </row>
    <row r="918" spans="2:4" x14ac:dyDescent="0.2">
      <c r="C918" s="1" t="s">
        <v>420</v>
      </c>
      <c r="D918" s="1" t="s">
        <v>421</v>
      </c>
    </row>
    <row r="919" spans="2:4" x14ac:dyDescent="0.2">
      <c r="D919" s="1" t="s">
        <v>179</v>
      </c>
    </row>
    <row r="920" spans="2:4" x14ac:dyDescent="0.2">
      <c r="B920" s="1">
        <v>18</v>
      </c>
      <c r="C920" s="1" t="s">
        <v>422</v>
      </c>
      <c r="D920" s="1" t="s">
        <v>423</v>
      </c>
    </row>
    <row r="921" spans="2:4" x14ac:dyDescent="0.2">
      <c r="D921" s="1" t="s">
        <v>424</v>
      </c>
    </row>
    <row r="922" spans="2:4" x14ac:dyDescent="0.2">
      <c r="D922" s="1" t="s">
        <v>425</v>
      </c>
    </row>
    <row r="923" spans="2:4" x14ac:dyDescent="0.2">
      <c r="C923" s="1" t="s">
        <v>426</v>
      </c>
      <c r="D923" s="1" t="s">
        <v>427</v>
      </c>
    </row>
    <row r="924" spans="2:4" x14ac:dyDescent="0.2">
      <c r="D924" s="1" t="s">
        <v>428</v>
      </c>
    </row>
    <row r="925" spans="2:4" x14ac:dyDescent="0.2">
      <c r="B925" s="1">
        <v>19</v>
      </c>
      <c r="C925" s="1" t="s">
        <v>429</v>
      </c>
      <c r="D925" s="1" t="s">
        <v>328</v>
      </c>
    </row>
    <row r="926" spans="2:4" x14ac:dyDescent="0.2">
      <c r="D926" s="1" t="s">
        <v>430</v>
      </c>
    </row>
    <row r="927" spans="2:4" x14ac:dyDescent="0.2">
      <c r="D927" s="1" t="s">
        <v>431</v>
      </c>
    </row>
    <row r="928" spans="2:4" x14ac:dyDescent="0.2">
      <c r="C928" s="1" t="s">
        <v>432</v>
      </c>
      <c r="D928" s="1" t="s">
        <v>433</v>
      </c>
    </row>
    <row r="929" spans="2:4" x14ac:dyDescent="0.2">
      <c r="D929" s="1" t="s">
        <v>434</v>
      </c>
    </row>
    <row r="930" spans="2:4" x14ac:dyDescent="0.2">
      <c r="B930" s="1">
        <v>20</v>
      </c>
      <c r="C930" s="1" t="s">
        <v>435</v>
      </c>
      <c r="D930" s="1" t="s">
        <v>436</v>
      </c>
    </row>
    <row r="931" spans="2:4" x14ac:dyDescent="0.2">
      <c r="D931" s="1" t="s">
        <v>437</v>
      </c>
    </row>
    <row r="932" spans="2:4" x14ac:dyDescent="0.2">
      <c r="C932" s="1" t="s">
        <v>438</v>
      </c>
      <c r="D932" s="1" t="s">
        <v>439</v>
      </c>
    </row>
    <row r="933" spans="2:4" x14ac:dyDescent="0.2">
      <c r="B933" s="1"/>
      <c r="C933" s="1"/>
      <c r="D933" s="1"/>
    </row>
    <row r="934" spans="2:4" x14ac:dyDescent="0.2">
      <c r="C934" s="1"/>
      <c r="D934" s="1"/>
    </row>
    <row r="935" spans="2:4" x14ac:dyDescent="0.2">
      <c r="B935" s="1"/>
      <c r="C935" s="1"/>
      <c r="D935" s="1"/>
    </row>
    <row r="936" spans="2:4" x14ac:dyDescent="0.2">
      <c r="C936" s="1"/>
      <c r="D936" s="1"/>
    </row>
    <row r="937" spans="2:4" x14ac:dyDescent="0.2">
      <c r="B937" s="1"/>
      <c r="C937" s="1"/>
      <c r="D937" s="1"/>
    </row>
    <row r="938" spans="2:4" x14ac:dyDescent="0.2">
      <c r="D938" s="1"/>
    </row>
    <row r="939" spans="2:4" x14ac:dyDescent="0.2">
      <c r="C939" s="1"/>
      <c r="D939" s="1"/>
    </row>
    <row r="940" spans="2:4" x14ac:dyDescent="0.2">
      <c r="D940" s="1"/>
    </row>
    <row r="941" spans="2:4" x14ac:dyDescent="0.2">
      <c r="B941" s="1"/>
      <c r="C941" s="1"/>
      <c r="D941" s="1"/>
    </row>
    <row r="942" spans="2:4" x14ac:dyDescent="0.2">
      <c r="D942" s="1"/>
    </row>
    <row r="943" spans="2:4" x14ac:dyDescent="0.2">
      <c r="C943" s="1"/>
      <c r="D943" s="1"/>
    </row>
    <row r="944" spans="2:4" x14ac:dyDescent="0.2">
      <c r="D944" s="1"/>
    </row>
    <row r="945" spans="1:4" x14ac:dyDescent="0.2">
      <c r="D945" s="1"/>
    </row>
    <row r="946" spans="1:4" x14ac:dyDescent="0.2">
      <c r="B946" s="1"/>
      <c r="C946" s="1"/>
      <c r="D946" s="1"/>
    </row>
    <row r="947" spans="1:4" x14ac:dyDescent="0.2">
      <c r="C947" s="1"/>
      <c r="D947" s="1"/>
    </row>
    <row r="948" spans="1:4" x14ac:dyDescent="0.2">
      <c r="B948" s="1"/>
      <c r="C948" s="1"/>
      <c r="D948" s="1"/>
    </row>
    <row r="949" spans="1:4" x14ac:dyDescent="0.2">
      <c r="D949" s="1"/>
    </row>
    <row r="950" spans="1:4" x14ac:dyDescent="0.2">
      <c r="C950" s="1"/>
      <c r="D950" s="1"/>
    </row>
    <row r="951" spans="1:4" x14ac:dyDescent="0.2">
      <c r="D951" s="1"/>
    </row>
    <row r="952" spans="1:4" x14ac:dyDescent="0.2">
      <c r="B952" s="1"/>
      <c r="C952" s="1"/>
      <c r="D952" s="1"/>
    </row>
    <row r="953" spans="1:4" x14ac:dyDescent="0.2">
      <c r="D953" s="1"/>
    </row>
    <row r="954" spans="1:4" x14ac:dyDescent="0.2">
      <c r="D954" s="1"/>
    </row>
    <row r="955" spans="1:4" x14ac:dyDescent="0.2">
      <c r="C955" s="1"/>
      <c r="D955" s="1"/>
    </row>
    <row r="956" spans="1:4" x14ac:dyDescent="0.2">
      <c r="D956" s="1"/>
    </row>
    <row r="957" spans="1:4" x14ac:dyDescent="0.2">
      <c r="A957" s="1" t="s">
        <v>440</v>
      </c>
    </row>
    <row r="958" spans="1:4" x14ac:dyDescent="0.2">
      <c r="C958" s="1" t="s">
        <v>1</v>
      </c>
      <c r="D958" s="1" t="s">
        <v>2</v>
      </c>
    </row>
    <row r="959" spans="1:4" x14ac:dyDescent="0.2">
      <c r="B959" s="1">
        <v>1</v>
      </c>
      <c r="C959" s="1" t="s">
        <v>441</v>
      </c>
      <c r="D959" s="1" t="s">
        <v>442</v>
      </c>
    </row>
    <row r="961" spans="1:4" x14ac:dyDescent="0.2">
      <c r="B961" s="1">
        <v>2</v>
      </c>
      <c r="C961" s="1" t="s">
        <v>443</v>
      </c>
      <c r="D961" s="1" t="s">
        <v>444</v>
      </c>
    </row>
    <row r="962" spans="1:4" x14ac:dyDescent="0.2">
      <c r="D962" s="1" t="s">
        <v>330</v>
      </c>
    </row>
    <row r="963" spans="1:4" x14ac:dyDescent="0.2">
      <c r="D963" s="1" t="s">
        <v>328</v>
      </c>
    </row>
    <row r="965" spans="1:4" x14ac:dyDescent="0.2">
      <c r="A965" s="1" t="s">
        <v>445</v>
      </c>
    </row>
    <row r="966" spans="1:4" x14ac:dyDescent="0.2">
      <c r="C966" s="1" t="s">
        <v>1</v>
      </c>
      <c r="D966" s="1" t="s">
        <v>2</v>
      </c>
    </row>
    <row r="967" spans="1:4" x14ac:dyDescent="0.2">
      <c r="B967" s="1">
        <v>1</v>
      </c>
      <c r="C967" s="1" t="s">
        <v>224</v>
      </c>
      <c r="D967" s="1" t="s">
        <v>127</v>
      </c>
    </row>
    <row r="968" spans="1:4" x14ac:dyDescent="0.2">
      <c r="D968" s="1" t="s">
        <v>225</v>
      </c>
    </row>
    <row r="969" spans="1:4" x14ac:dyDescent="0.2">
      <c r="D969" s="1" t="s">
        <v>226</v>
      </c>
    </row>
    <row r="970" spans="1:4" x14ac:dyDescent="0.2">
      <c r="C970" s="1" t="s">
        <v>446</v>
      </c>
      <c r="D970" s="1" t="s">
        <v>447</v>
      </c>
    </row>
    <row r="971" spans="1:4" x14ac:dyDescent="0.2">
      <c r="D971" s="1" t="s">
        <v>225</v>
      </c>
    </row>
    <row r="972" spans="1:4" x14ac:dyDescent="0.2">
      <c r="B972" s="1">
        <v>2</v>
      </c>
      <c r="C972" s="1" t="s">
        <v>448</v>
      </c>
      <c r="D972" s="1" t="s">
        <v>449</v>
      </c>
    </row>
    <row r="973" spans="1:4" x14ac:dyDescent="0.2">
      <c r="D973" s="1" t="s">
        <v>450</v>
      </c>
    </row>
    <row r="974" spans="1:4" x14ac:dyDescent="0.2">
      <c r="C974" s="1" t="s">
        <v>268</v>
      </c>
      <c r="D974" s="1" t="s">
        <v>269</v>
      </c>
    </row>
    <row r="975" spans="1:4" x14ac:dyDescent="0.2">
      <c r="D975" s="1" t="s">
        <v>270</v>
      </c>
    </row>
    <row r="976" spans="1:4" x14ac:dyDescent="0.2">
      <c r="D976" s="1" t="s">
        <v>271</v>
      </c>
    </row>
    <row r="977" spans="2:4" x14ac:dyDescent="0.2">
      <c r="B977" s="1">
        <v>3</v>
      </c>
      <c r="C977" s="1" t="s">
        <v>365</v>
      </c>
      <c r="D977" s="1" t="s">
        <v>366</v>
      </c>
    </row>
    <row r="978" spans="2:4" x14ac:dyDescent="0.2">
      <c r="D978" s="1" t="s">
        <v>308</v>
      </c>
    </row>
    <row r="979" spans="2:4" x14ac:dyDescent="0.2">
      <c r="C979" s="1" t="s">
        <v>376</v>
      </c>
      <c r="D979" s="1" t="s">
        <v>308</v>
      </c>
    </row>
    <row r="980" spans="2:4" x14ac:dyDescent="0.2">
      <c r="D980" s="1" t="s">
        <v>377</v>
      </c>
    </row>
    <row r="981" spans="2:4" x14ac:dyDescent="0.2">
      <c r="D981" s="1" t="s">
        <v>378</v>
      </c>
    </row>
    <row r="982" spans="2:4" x14ac:dyDescent="0.2">
      <c r="B982" s="1">
        <v>4</v>
      </c>
      <c r="C982" s="1" t="s">
        <v>451</v>
      </c>
      <c r="D982" s="1" t="s">
        <v>452</v>
      </c>
    </row>
    <row r="983" spans="2:4" x14ac:dyDescent="0.2">
      <c r="D983" s="1" t="s">
        <v>453</v>
      </c>
    </row>
    <row r="984" spans="2:4" x14ac:dyDescent="0.2">
      <c r="C984" s="1" t="s">
        <v>454</v>
      </c>
      <c r="D984" s="1" t="s">
        <v>455</v>
      </c>
    </row>
    <row r="985" spans="2:4" x14ac:dyDescent="0.2">
      <c r="D985" s="1" t="s">
        <v>456</v>
      </c>
    </row>
    <row r="986" spans="2:4" x14ac:dyDescent="0.2">
      <c r="B986" s="1"/>
      <c r="C986" s="1"/>
      <c r="D986" s="1"/>
    </row>
    <row r="987" spans="2:4" x14ac:dyDescent="0.2">
      <c r="D987" s="1"/>
    </row>
    <row r="988" spans="2:4" x14ac:dyDescent="0.2">
      <c r="C988" s="1"/>
      <c r="D988" s="1"/>
    </row>
    <row r="989" spans="2:4" x14ac:dyDescent="0.2">
      <c r="D989" s="1"/>
    </row>
    <row r="990" spans="2:4" x14ac:dyDescent="0.2">
      <c r="B990" s="1"/>
      <c r="C990" s="1"/>
      <c r="D990" s="1"/>
    </row>
    <row r="991" spans="2:4" x14ac:dyDescent="0.2">
      <c r="D991" s="1"/>
    </row>
    <row r="992" spans="2:4" x14ac:dyDescent="0.2">
      <c r="C992" s="1"/>
      <c r="D992" s="1"/>
    </row>
    <row r="993" spans="1:4" x14ac:dyDescent="0.2">
      <c r="D993" s="1"/>
    </row>
    <row r="994" spans="1:4" x14ac:dyDescent="0.2">
      <c r="B994" s="1"/>
      <c r="C994" s="1"/>
      <c r="D994" s="1"/>
    </row>
    <row r="995" spans="1:4" x14ac:dyDescent="0.2">
      <c r="D995" s="1"/>
    </row>
    <row r="996" spans="1:4" x14ac:dyDescent="0.2">
      <c r="C996" s="1"/>
      <c r="D996" s="1"/>
    </row>
    <row r="997" spans="1:4" x14ac:dyDescent="0.2">
      <c r="B997" s="1"/>
      <c r="C997" s="1"/>
      <c r="D997" s="1"/>
    </row>
    <row r="998" spans="1:4" x14ac:dyDescent="0.2">
      <c r="D998" s="1"/>
    </row>
    <row r="999" spans="1:4" x14ac:dyDescent="0.2">
      <c r="C999" s="1"/>
      <c r="D999" s="1"/>
    </row>
    <row r="1000" spans="1:4" x14ac:dyDescent="0.2">
      <c r="D1000" s="1"/>
    </row>
    <row r="1001" spans="1:4" x14ac:dyDescent="0.2">
      <c r="B1001" s="1"/>
      <c r="C1001" s="1"/>
      <c r="D1001" s="1"/>
    </row>
    <row r="1002" spans="1:4" x14ac:dyDescent="0.2">
      <c r="D1002" s="1"/>
    </row>
    <row r="1003" spans="1:4" x14ac:dyDescent="0.2">
      <c r="D1003" s="1"/>
    </row>
    <row r="1004" spans="1:4" x14ac:dyDescent="0.2">
      <c r="C1004" s="1"/>
      <c r="D1004" s="1"/>
    </row>
    <row r="1005" spans="1:4" x14ac:dyDescent="0.2">
      <c r="D1005" s="1"/>
    </row>
    <row r="1006" spans="1:4" x14ac:dyDescent="0.2">
      <c r="D1006" s="1"/>
    </row>
    <row r="1007" spans="1:4" x14ac:dyDescent="0.2">
      <c r="A1007" s="1" t="s">
        <v>457</v>
      </c>
    </row>
    <row r="1008" spans="1:4" x14ac:dyDescent="0.2">
      <c r="C1008" s="1" t="s">
        <v>1</v>
      </c>
      <c r="D1008" s="1" t="s">
        <v>2</v>
      </c>
    </row>
    <row r="1009" spans="2:4" x14ac:dyDescent="0.2">
      <c r="B1009" s="1">
        <v>1</v>
      </c>
      <c r="C1009" s="1" t="s">
        <v>458</v>
      </c>
      <c r="D1009" s="1" t="s">
        <v>459</v>
      </c>
    </row>
    <row r="1010" spans="2:4" x14ac:dyDescent="0.2">
      <c r="D1010" s="1" t="s">
        <v>460</v>
      </c>
    </row>
    <row r="1011" spans="2:4" x14ac:dyDescent="0.2">
      <c r="C1011" s="1" t="s">
        <v>448</v>
      </c>
      <c r="D1011" s="1" t="s">
        <v>449</v>
      </c>
    </row>
    <row r="1012" spans="2:4" x14ac:dyDescent="0.2">
      <c r="D1012" s="1" t="s">
        <v>450</v>
      </c>
    </row>
    <row r="1013" spans="2:4" x14ac:dyDescent="0.2">
      <c r="B1013" s="1">
        <v>2</v>
      </c>
      <c r="C1013" s="1" t="s">
        <v>398</v>
      </c>
      <c r="D1013" s="1" t="s">
        <v>330</v>
      </c>
    </row>
    <row r="1014" spans="2:4" x14ac:dyDescent="0.2">
      <c r="D1014" s="1" t="s">
        <v>267</v>
      </c>
    </row>
    <row r="1015" spans="2:4" x14ac:dyDescent="0.2">
      <c r="C1015" s="1" t="s">
        <v>265</v>
      </c>
      <c r="D1015" s="1" t="s">
        <v>266</v>
      </c>
    </row>
    <row r="1016" spans="2:4" x14ac:dyDescent="0.2">
      <c r="D1016" s="1" t="s">
        <v>267</v>
      </c>
    </row>
    <row r="1017" spans="2:4" x14ac:dyDescent="0.2">
      <c r="B1017" s="1">
        <v>3</v>
      </c>
      <c r="C1017" s="1" t="s">
        <v>404</v>
      </c>
      <c r="D1017" s="1" t="s">
        <v>405</v>
      </c>
    </row>
    <row r="1018" spans="2:4" x14ac:dyDescent="0.2">
      <c r="D1018" s="1" t="s">
        <v>406</v>
      </c>
    </row>
    <row r="1019" spans="2:4" x14ac:dyDescent="0.2">
      <c r="C1019" s="1" t="s">
        <v>446</v>
      </c>
      <c r="D1019" s="1" t="s">
        <v>447</v>
      </c>
    </row>
    <row r="1020" spans="2:4" x14ac:dyDescent="0.2">
      <c r="D1020" s="1" t="s">
        <v>225</v>
      </c>
    </row>
    <row r="1021" spans="2:4" x14ac:dyDescent="0.2">
      <c r="B1021" s="1">
        <v>4</v>
      </c>
      <c r="C1021" s="1" t="s">
        <v>337</v>
      </c>
      <c r="D1021" s="1" t="s">
        <v>179</v>
      </c>
    </row>
    <row r="1022" spans="2:4" x14ac:dyDescent="0.2">
      <c r="D1022" s="1" t="s">
        <v>338</v>
      </c>
    </row>
    <row r="1023" spans="2:4" x14ac:dyDescent="0.2">
      <c r="D1023" s="1" t="s">
        <v>339</v>
      </c>
    </row>
    <row r="1024" spans="2:4" x14ac:dyDescent="0.2">
      <c r="C1024" s="1" t="s">
        <v>461</v>
      </c>
      <c r="D1024" s="1" t="s">
        <v>462</v>
      </c>
    </row>
    <row r="1025" spans="2:4" x14ac:dyDescent="0.2">
      <c r="D1025" s="1" t="s">
        <v>463</v>
      </c>
    </row>
    <row r="1026" spans="2:4" x14ac:dyDescent="0.2">
      <c r="B1026" s="1">
        <v>5</v>
      </c>
      <c r="C1026" s="1" t="s">
        <v>340</v>
      </c>
      <c r="D1026" s="1" t="s">
        <v>341</v>
      </c>
    </row>
    <row r="1027" spans="2:4" x14ac:dyDescent="0.2">
      <c r="D1027" s="1" t="s">
        <v>179</v>
      </c>
    </row>
    <row r="1028" spans="2:4" x14ac:dyDescent="0.2">
      <c r="D1028" s="1" t="s">
        <v>342</v>
      </c>
    </row>
    <row r="1029" spans="2:4" x14ac:dyDescent="0.2">
      <c r="C1029" s="1" t="s">
        <v>464</v>
      </c>
      <c r="D1029" s="1" t="s">
        <v>465</v>
      </c>
    </row>
    <row r="1030" spans="2:4" x14ac:dyDescent="0.2">
      <c r="D1030" s="1" t="s">
        <v>466</v>
      </c>
    </row>
    <row r="1031" spans="2:4" x14ac:dyDescent="0.2">
      <c r="D1031" s="1" t="s">
        <v>467</v>
      </c>
    </row>
    <row r="1032" spans="2:4" x14ac:dyDescent="0.2">
      <c r="B1032" s="1">
        <v>6</v>
      </c>
      <c r="C1032" s="1" t="s">
        <v>185</v>
      </c>
      <c r="D1032" s="1" t="s">
        <v>75</v>
      </c>
    </row>
    <row r="1033" spans="2:4" x14ac:dyDescent="0.2">
      <c r="D1033" s="1" t="s">
        <v>186</v>
      </c>
    </row>
    <row r="1034" spans="2:4" x14ac:dyDescent="0.2">
      <c r="D1034" s="1" t="s">
        <v>187</v>
      </c>
    </row>
    <row r="1035" spans="2:4" x14ac:dyDescent="0.2">
      <c r="C1035" s="1" t="s">
        <v>468</v>
      </c>
      <c r="D1035" s="1" t="s">
        <v>308</v>
      </c>
    </row>
    <row r="1036" spans="2:4" x14ac:dyDescent="0.2">
      <c r="D1036" s="1" t="s">
        <v>469</v>
      </c>
    </row>
    <row r="1037" spans="2:4" x14ac:dyDescent="0.2">
      <c r="D1037" s="1" t="s">
        <v>470</v>
      </c>
    </row>
    <row r="1038" spans="2:4" x14ac:dyDescent="0.2">
      <c r="B1038" s="1">
        <v>7</v>
      </c>
      <c r="C1038" s="1" t="s">
        <v>353</v>
      </c>
      <c r="D1038" s="1" t="s">
        <v>354</v>
      </c>
    </row>
    <row r="1039" spans="2:4" x14ac:dyDescent="0.2">
      <c r="D1039" s="1" t="s">
        <v>179</v>
      </c>
    </row>
    <row r="1040" spans="2:4" x14ac:dyDescent="0.2">
      <c r="D1040" s="1" t="s">
        <v>355</v>
      </c>
    </row>
    <row r="1041" spans="2:4" x14ac:dyDescent="0.2">
      <c r="C1041" s="1" t="s">
        <v>224</v>
      </c>
      <c r="D1041" s="1" t="s">
        <v>127</v>
      </c>
    </row>
    <row r="1042" spans="2:4" x14ac:dyDescent="0.2">
      <c r="D1042" s="1" t="s">
        <v>225</v>
      </c>
    </row>
    <row r="1043" spans="2:4" x14ac:dyDescent="0.2">
      <c r="D1043" s="1" t="s">
        <v>226</v>
      </c>
    </row>
    <row r="1044" spans="2:4" x14ac:dyDescent="0.2">
      <c r="B1044" s="1">
        <v>8</v>
      </c>
      <c r="C1044" s="1" t="s">
        <v>422</v>
      </c>
      <c r="D1044" s="1" t="s">
        <v>423</v>
      </c>
    </row>
    <row r="1045" spans="2:4" x14ac:dyDescent="0.2">
      <c r="D1045" s="1" t="s">
        <v>424</v>
      </c>
    </row>
    <row r="1046" spans="2:4" x14ac:dyDescent="0.2">
      <c r="D1046" s="1" t="s">
        <v>425</v>
      </c>
    </row>
    <row r="1047" spans="2:4" x14ac:dyDescent="0.2">
      <c r="C1047" s="1" t="s">
        <v>471</v>
      </c>
      <c r="D1047" s="1" t="s">
        <v>472</v>
      </c>
    </row>
    <row r="1048" spans="2:4" x14ac:dyDescent="0.2">
      <c r="D1048" s="1" t="s">
        <v>473</v>
      </c>
    </row>
    <row r="1049" spans="2:4" x14ac:dyDescent="0.2">
      <c r="B1049" s="1">
        <v>9</v>
      </c>
      <c r="C1049" s="1" t="s">
        <v>474</v>
      </c>
      <c r="D1049" s="1" t="s">
        <v>475</v>
      </c>
    </row>
    <row r="1050" spans="2:4" x14ac:dyDescent="0.2">
      <c r="C1050" s="1" t="s">
        <v>476</v>
      </c>
      <c r="D1050" s="1" t="s">
        <v>477</v>
      </c>
    </row>
    <row r="1051" spans="2:4" x14ac:dyDescent="0.2">
      <c r="B1051" s="1">
        <v>10</v>
      </c>
      <c r="C1051" s="1" t="s">
        <v>478</v>
      </c>
      <c r="D1051" s="1" t="s">
        <v>479</v>
      </c>
    </row>
    <row r="1052" spans="2:4" x14ac:dyDescent="0.2">
      <c r="D1052" s="1" t="s">
        <v>480</v>
      </c>
    </row>
    <row r="1053" spans="2:4" x14ac:dyDescent="0.2">
      <c r="D1053" s="1" t="s">
        <v>481</v>
      </c>
    </row>
    <row r="1054" spans="2:4" x14ac:dyDescent="0.2">
      <c r="C1054" s="1" t="s">
        <v>454</v>
      </c>
      <c r="D1054" s="1" t="s">
        <v>455</v>
      </c>
    </row>
    <row r="1055" spans="2:4" x14ac:dyDescent="0.2">
      <c r="D1055" s="1" t="s">
        <v>456</v>
      </c>
    </row>
    <row r="1056" spans="2:4" x14ac:dyDescent="0.2">
      <c r="B1056" s="1">
        <v>11</v>
      </c>
      <c r="C1056" s="1" t="s">
        <v>482</v>
      </c>
      <c r="D1056" s="1" t="s">
        <v>483</v>
      </c>
    </row>
    <row r="1057" spans="2:4" x14ac:dyDescent="0.2">
      <c r="D1057" s="1" t="s">
        <v>484</v>
      </c>
    </row>
    <row r="1058" spans="2:4" x14ac:dyDescent="0.2">
      <c r="C1058" s="1" t="s">
        <v>485</v>
      </c>
      <c r="D1058" s="1" t="s">
        <v>453</v>
      </c>
    </row>
    <row r="1059" spans="2:4" x14ac:dyDescent="0.2">
      <c r="D1059" s="1" t="s">
        <v>486</v>
      </c>
    </row>
    <row r="1060" spans="2:4" x14ac:dyDescent="0.2">
      <c r="D1060" s="1" t="s">
        <v>487</v>
      </c>
    </row>
    <row r="1061" spans="2:4" x14ac:dyDescent="0.2">
      <c r="B1061" s="1">
        <v>12</v>
      </c>
      <c r="C1061" s="1" t="s">
        <v>356</v>
      </c>
      <c r="D1061" s="1" t="s">
        <v>357</v>
      </c>
    </row>
    <row r="1062" spans="2:4" x14ac:dyDescent="0.2">
      <c r="D1062" s="1" t="s">
        <v>358</v>
      </c>
    </row>
    <row r="1063" spans="2:4" x14ac:dyDescent="0.2">
      <c r="D1063" s="1" t="s">
        <v>179</v>
      </c>
    </row>
    <row r="1064" spans="2:4" x14ac:dyDescent="0.2">
      <c r="C1064" s="1" t="s">
        <v>314</v>
      </c>
      <c r="D1064" s="1" t="s">
        <v>315</v>
      </c>
    </row>
    <row r="1065" spans="2:4" x14ac:dyDescent="0.2">
      <c r="B1065" s="1">
        <v>13</v>
      </c>
      <c r="C1065" s="1" t="s">
        <v>220</v>
      </c>
      <c r="D1065" s="1" t="s">
        <v>75</v>
      </c>
    </row>
    <row r="1066" spans="2:4" x14ac:dyDescent="0.2">
      <c r="D1066" s="1" t="s">
        <v>221</v>
      </c>
    </row>
    <row r="1067" spans="2:4" x14ac:dyDescent="0.2">
      <c r="C1067" s="1" t="s">
        <v>488</v>
      </c>
      <c r="D1067" s="1" t="s">
        <v>465</v>
      </c>
    </row>
    <row r="1068" spans="2:4" x14ac:dyDescent="0.2">
      <c r="D1068" s="1" t="s">
        <v>489</v>
      </c>
    </row>
    <row r="1069" spans="2:4" x14ac:dyDescent="0.2">
      <c r="D1069" s="1" t="s">
        <v>490</v>
      </c>
    </row>
    <row r="1070" spans="2:4" x14ac:dyDescent="0.2">
      <c r="B1070" s="1">
        <v>14</v>
      </c>
      <c r="C1070" s="1" t="s">
        <v>491</v>
      </c>
      <c r="D1070" s="1" t="s">
        <v>393</v>
      </c>
    </row>
    <row r="1071" spans="2:4" x14ac:dyDescent="0.2">
      <c r="D1071" s="1" t="s">
        <v>328</v>
      </c>
    </row>
    <row r="1072" spans="2:4" x14ac:dyDescent="0.2">
      <c r="D1072" s="1" t="s">
        <v>492</v>
      </c>
    </row>
    <row r="1073" spans="2:4" x14ac:dyDescent="0.2">
      <c r="D1073" s="1" t="s">
        <v>493</v>
      </c>
    </row>
    <row r="1074" spans="2:4" x14ac:dyDescent="0.2">
      <c r="C1074" s="1" t="s">
        <v>369</v>
      </c>
      <c r="D1074" s="1" t="s">
        <v>370</v>
      </c>
    </row>
    <row r="1075" spans="2:4" x14ac:dyDescent="0.2">
      <c r="D1075" s="1" t="s">
        <v>308</v>
      </c>
    </row>
    <row r="1076" spans="2:4" x14ac:dyDescent="0.2">
      <c r="B1076" s="1">
        <v>15</v>
      </c>
      <c r="C1076" s="1" t="s">
        <v>494</v>
      </c>
      <c r="D1076" s="1" t="s">
        <v>495</v>
      </c>
    </row>
    <row r="1077" spans="2:4" x14ac:dyDescent="0.2">
      <c r="D1077" s="1" t="s">
        <v>496</v>
      </c>
    </row>
    <row r="1078" spans="2:4" x14ac:dyDescent="0.2">
      <c r="D1078" s="1" t="s">
        <v>179</v>
      </c>
    </row>
    <row r="1079" spans="2:4" x14ac:dyDescent="0.2">
      <c r="C1079" s="1" t="s">
        <v>497</v>
      </c>
      <c r="D1079" s="1" t="s">
        <v>498</v>
      </c>
    </row>
    <row r="1080" spans="2:4" x14ac:dyDescent="0.2">
      <c r="D1080" s="1" t="s">
        <v>499</v>
      </c>
    </row>
    <row r="1081" spans="2:4" x14ac:dyDescent="0.2">
      <c r="B1081" s="1">
        <v>16</v>
      </c>
      <c r="C1081" s="1" t="s">
        <v>500</v>
      </c>
      <c r="D1081" s="1" t="s">
        <v>179</v>
      </c>
    </row>
    <row r="1082" spans="2:4" x14ac:dyDescent="0.2">
      <c r="D1082" s="1" t="s">
        <v>330</v>
      </c>
    </row>
    <row r="1083" spans="2:4" x14ac:dyDescent="0.2">
      <c r="D1083" s="1" t="s">
        <v>267</v>
      </c>
    </row>
    <row r="1084" spans="2:4" x14ac:dyDescent="0.2">
      <c r="C1084" s="1" t="s">
        <v>501</v>
      </c>
      <c r="D1084" s="1" t="s">
        <v>502</v>
      </c>
    </row>
    <row r="1085" spans="2:4" x14ac:dyDescent="0.2">
      <c r="D1085" s="1" t="s">
        <v>127</v>
      </c>
    </row>
    <row r="1086" spans="2:4" x14ac:dyDescent="0.2">
      <c r="B1086" s="1"/>
      <c r="C1086" s="1"/>
      <c r="D1086" s="1"/>
    </row>
    <row r="1087" spans="2:4" x14ac:dyDescent="0.2">
      <c r="D1087" s="1"/>
    </row>
    <row r="1088" spans="2:4" x14ac:dyDescent="0.2">
      <c r="C1088" s="1"/>
      <c r="D1088" s="1"/>
    </row>
    <row r="1089" spans="2:4" x14ac:dyDescent="0.2">
      <c r="B1089" s="1"/>
      <c r="C1089" s="1"/>
      <c r="D1089" s="1"/>
    </row>
    <row r="1090" spans="2:4" x14ac:dyDescent="0.2">
      <c r="D1090" s="1"/>
    </row>
    <row r="1091" spans="2:4" x14ac:dyDescent="0.2">
      <c r="D1091" s="1"/>
    </row>
    <row r="1092" spans="2:4" x14ac:dyDescent="0.2">
      <c r="C1092" s="1"/>
      <c r="D1092" s="1"/>
    </row>
    <row r="1093" spans="2:4" x14ac:dyDescent="0.2">
      <c r="D1093" s="1"/>
    </row>
    <row r="1094" spans="2:4" x14ac:dyDescent="0.2">
      <c r="D1094" s="1"/>
    </row>
    <row r="1095" spans="2:4" x14ac:dyDescent="0.2">
      <c r="B1095" s="1"/>
      <c r="C1095" s="1"/>
      <c r="D1095" s="1"/>
    </row>
    <row r="1096" spans="2:4" x14ac:dyDescent="0.2">
      <c r="D1096" s="1"/>
    </row>
    <row r="1097" spans="2:4" x14ac:dyDescent="0.2">
      <c r="C1097" s="1"/>
      <c r="D1097" s="1"/>
    </row>
    <row r="1098" spans="2:4" x14ac:dyDescent="0.2">
      <c r="B1098" s="1"/>
      <c r="C1098" s="1"/>
      <c r="D1098" s="1"/>
    </row>
    <row r="1099" spans="2:4" x14ac:dyDescent="0.2">
      <c r="D1099" s="1"/>
    </row>
    <row r="1100" spans="2:4" x14ac:dyDescent="0.2">
      <c r="D1100" s="1"/>
    </row>
    <row r="1101" spans="2:4" x14ac:dyDescent="0.2">
      <c r="C1101" s="1"/>
      <c r="D1101" s="1"/>
    </row>
    <row r="1102" spans="2:4" x14ac:dyDescent="0.2">
      <c r="D1102" s="1"/>
    </row>
    <row r="1103" spans="2:4" x14ac:dyDescent="0.2">
      <c r="D1103" s="1"/>
    </row>
    <row r="1104" spans="2:4" x14ac:dyDescent="0.2">
      <c r="D1104" s="1"/>
    </row>
    <row r="1105" spans="1:4" x14ac:dyDescent="0.2">
      <c r="A1105" s="1" t="s">
        <v>503</v>
      </c>
    </row>
    <row r="1106" spans="1:4" x14ac:dyDescent="0.2">
      <c r="C1106" s="1" t="s">
        <v>1</v>
      </c>
      <c r="D1106" s="1" t="s">
        <v>2</v>
      </c>
    </row>
    <row r="1107" spans="1:4" x14ac:dyDescent="0.2">
      <c r="B1107" s="1">
        <v>1</v>
      </c>
      <c r="C1107" s="1" t="s">
        <v>361</v>
      </c>
      <c r="D1107" s="1" t="s">
        <v>362</v>
      </c>
    </row>
    <row r="1108" spans="1:4" x14ac:dyDescent="0.2">
      <c r="D1108" s="1" t="s">
        <v>179</v>
      </c>
    </row>
    <row r="1109" spans="1:4" x14ac:dyDescent="0.2">
      <c r="D1109" s="1" t="s">
        <v>363</v>
      </c>
    </row>
    <row r="1111" spans="1:4" x14ac:dyDescent="0.2">
      <c r="B1111" s="1">
        <v>2</v>
      </c>
      <c r="C1111" s="1" t="s">
        <v>385</v>
      </c>
      <c r="D1111" s="1" t="s">
        <v>267</v>
      </c>
    </row>
    <row r="1112" spans="1:4" x14ac:dyDescent="0.2">
      <c r="D1112" s="1" t="s">
        <v>386</v>
      </c>
    </row>
    <row r="1113" spans="1:4" x14ac:dyDescent="0.2">
      <c r="D1113" s="1" t="s">
        <v>387</v>
      </c>
    </row>
    <row r="1114" spans="1:4" x14ac:dyDescent="0.2">
      <c r="C1114" s="1" t="s">
        <v>134</v>
      </c>
    </row>
    <row r="1115" spans="1:4" x14ac:dyDescent="0.2">
      <c r="A1115" s="1" t="s">
        <v>504</v>
      </c>
    </row>
    <row r="1116" spans="1:4" x14ac:dyDescent="0.2">
      <c r="C1116" s="1" t="s">
        <v>1</v>
      </c>
      <c r="D1116" s="1" t="s">
        <v>2</v>
      </c>
    </row>
    <row r="1117" spans="1:4" x14ac:dyDescent="0.2">
      <c r="B1117" s="1">
        <v>1</v>
      </c>
      <c r="C1117" s="1" t="s">
        <v>384</v>
      </c>
      <c r="D1117" s="1" t="s">
        <v>330</v>
      </c>
    </row>
    <row r="1118" spans="1:4" x14ac:dyDescent="0.2">
      <c r="D1118" s="1" t="s">
        <v>328</v>
      </c>
    </row>
    <row r="1119" spans="1:4" x14ac:dyDescent="0.2">
      <c r="B1119" s="1">
        <v>2</v>
      </c>
      <c r="C1119" s="1" t="s">
        <v>505</v>
      </c>
      <c r="D1119" s="1" t="s">
        <v>328</v>
      </c>
    </row>
    <row r="1120" spans="1:4" x14ac:dyDescent="0.2">
      <c r="D1120" s="1" t="s">
        <v>506</v>
      </c>
    </row>
    <row r="1121" spans="2:4" x14ac:dyDescent="0.2">
      <c r="B1121" s="1">
        <v>3</v>
      </c>
      <c r="C1121" s="1" t="s">
        <v>392</v>
      </c>
      <c r="D1121" s="1" t="s">
        <v>328</v>
      </c>
    </row>
    <row r="1122" spans="2:4" x14ac:dyDescent="0.2">
      <c r="D1122" s="1" t="s">
        <v>393</v>
      </c>
    </row>
    <row r="1123" spans="2:4" x14ac:dyDescent="0.2">
      <c r="D1123" s="1" t="s">
        <v>394</v>
      </c>
    </row>
    <row r="1124" spans="2:4" x14ac:dyDescent="0.2">
      <c r="B1124" s="1">
        <v>4</v>
      </c>
      <c r="C1124" s="1" t="s">
        <v>507</v>
      </c>
      <c r="D1124" s="1" t="s">
        <v>328</v>
      </c>
    </row>
    <row r="1125" spans="2:4" x14ac:dyDescent="0.2">
      <c r="B1125" s="1">
        <v>5</v>
      </c>
      <c r="C1125" s="1" t="s">
        <v>327</v>
      </c>
      <c r="D1125" s="1" t="s">
        <v>179</v>
      </c>
    </row>
    <row r="1126" spans="2:4" x14ac:dyDescent="0.2">
      <c r="D1126" s="1" t="s">
        <v>328</v>
      </c>
    </row>
    <row r="1127" spans="2:4" x14ac:dyDescent="0.2">
      <c r="B1127" s="1">
        <v>6</v>
      </c>
      <c r="C1127" s="1" t="s">
        <v>508</v>
      </c>
      <c r="D1127" s="1" t="s">
        <v>328</v>
      </c>
    </row>
    <row r="1128" spans="2:4" x14ac:dyDescent="0.2">
      <c r="B1128" s="1">
        <v>7</v>
      </c>
      <c r="C1128" s="1" t="s">
        <v>509</v>
      </c>
      <c r="D1128" s="1" t="s">
        <v>328</v>
      </c>
    </row>
    <row r="1129" spans="2:4" x14ac:dyDescent="0.2">
      <c r="D1129" s="1" t="s">
        <v>510</v>
      </c>
    </row>
    <row r="1130" spans="2:4" x14ac:dyDescent="0.2">
      <c r="B1130" s="1">
        <v>8</v>
      </c>
      <c r="C1130" s="1" t="s">
        <v>511</v>
      </c>
      <c r="D1130" s="1" t="s">
        <v>328</v>
      </c>
    </row>
    <row r="1131" spans="2:4" x14ac:dyDescent="0.2">
      <c r="B1131" s="1">
        <v>9</v>
      </c>
      <c r="C1131" s="1" t="s">
        <v>512</v>
      </c>
      <c r="D1131" s="1" t="s">
        <v>513</v>
      </c>
    </row>
    <row r="1132" spans="2:4" x14ac:dyDescent="0.2">
      <c r="D1132" s="1" t="s">
        <v>328</v>
      </c>
    </row>
    <row r="1133" spans="2:4" x14ac:dyDescent="0.2">
      <c r="B1133" s="1">
        <v>10</v>
      </c>
      <c r="C1133" s="1" t="s">
        <v>514</v>
      </c>
      <c r="D1133" s="1" t="s">
        <v>328</v>
      </c>
    </row>
    <row r="1134" spans="2:4" x14ac:dyDescent="0.2">
      <c r="D1134" s="1" t="s">
        <v>515</v>
      </c>
    </row>
    <row r="1135" spans="2:4" x14ac:dyDescent="0.2">
      <c r="B1135" s="1">
        <v>11</v>
      </c>
      <c r="C1135" s="1" t="s">
        <v>516</v>
      </c>
      <c r="D1135" s="1" t="s">
        <v>517</v>
      </c>
    </row>
    <row r="1136" spans="2:4" x14ac:dyDescent="0.2">
      <c r="D1136" s="1" t="s">
        <v>328</v>
      </c>
    </row>
    <row r="1137" spans="2:4" x14ac:dyDescent="0.2">
      <c r="D1137" s="1" t="s">
        <v>518</v>
      </c>
    </row>
    <row r="1138" spans="2:4" x14ac:dyDescent="0.2">
      <c r="B1138" s="1">
        <v>12</v>
      </c>
      <c r="C1138" s="1" t="s">
        <v>519</v>
      </c>
      <c r="D1138" s="1" t="s">
        <v>328</v>
      </c>
    </row>
    <row r="1139" spans="2:4" x14ac:dyDescent="0.2">
      <c r="D1139" s="1" t="s">
        <v>520</v>
      </c>
    </row>
    <row r="1140" spans="2:4" x14ac:dyDescent="0.2">
      <c r="B1140" s="1">
        <v>13</v>
      </c>
      <c r="C1140" s="1" t="s">
        <v>521</v>
      </c>
      <c r="D1140" s="1" t="s">
        <v>522</v>
      </c>
    </row>
    <row r="1141" spans="2:4" x14ac:dyDescent="0.2">
      <c r="D1141" s="1" t="s">
        <v>328</v>
      </c>
    </row>
    <row r="1142" spans="2:4" x14ac:dyDescent="0.2">
      <c r="B1142" s="1">
        <v>14</v>
      </c>
      <c r="C1142" s="1" t="s">
        <v>523</v>
      </c>
      <c r="D1142" s="1" t="s">
        <v>328</v>
      </c>
    </row>
    <row r="1143" spans="2:4" x14ac:dyDescent="0.2">
      <c r="D1143" s="1" t="s">
        <v>524</v>
      </c>
    </row>
    <row r="1144" spans="2:4" x14ac:dyDescent="0.2">
      <c r="B1144" s="1">
        <v>15</v>
      </c>
      <c r="C1144" s="1" t="s">
        <v>525</v>
      </c>
      <c r="D1144" s="1" t="s">
        <v>328</v>
      </c>
    </row>
    <row r="1145" spans="2:4" x14ac:dyDescent="0.2">
      <c r="B1145" s="1">
        <v>16</v>
      </c>
      <c r="C1145" s="1" t="s">
        <v>526</v>
      </c>
      <c r="D1145" s="1" t="s">
        <v>328</v>
      </c>
    </row>
    <row r="1146" spans="2:4" x14ac:dyDescent="0.2">
      <c r="B1146" s="1">
        <v>17</v>
      </c>
      <c r="C1146" s="1" t="s">
        <v>527</v>
      </c>
      <c r="D1146" s="1" t="s">
        <v>528</v>
      </c>
    </row>
    <row r="1147" spans="2:4" x14ac:dyDescent="0.2">
      <c r="D1147" s="1" t="s">
        <v>328</v>
      </c>
    </row>
    <row r="1148" spans="2:4" x14ac:dyDescent="0.2">
      <c r="B1148" s="1">
        <v>18</v>
      </c>
      <c r="C1148" s="1" t="s">
        <v>529</v>
      </c>
      <c r="D1148" s="1" t="s">
        <v>530</v>
      </c>
    </row>
    <row r="1149" spans="2:4" x14ac:dyDescent="0.2">
      <c r="D1149" s="1" t="s">
        <v>328</v>
      </c>
    </row>
    <row r="1150" spans="2:4" x14ac:dyDescent="0.2">
      <c r="B1150" s="1">
        <v>19</v>
      </c>
      <c r="C1150" s="1" t="s">
        <v>531</v>
      </c>
      <c r="D1150" s="1" t="s">
        <v>532</v>
      </c>
    </row>
    <row r="1151" spans="2:4" x14ac:dyDescent="0.2">
      <c r="D1151" s="1" t="s">
        <v>533</v>
      </c>
    </row>
    <row r="1152" spans="2:4" x14ac:dyDescent="0.2">
      <c r="D1152" s="1" t="s">
        <v>328</v>
      </c>
    </row>
    <row r="1153" spans="2:4" x14ac:dyDescent="0.2">
      <c r="B1153" s="1">
        <v>20</v>
      </c>
      <c r="C1153" s="1" t="s">
        <v>534</v>
      </c>
      <c r="D1153" s="1" t="s">
        <v>535</v>
      </c>
    </row>
    <row r="1154" spans="2:4" x14ac:dyDescent="0.2">
      <c r="D1154" s="1" t="s">
        <v>536</v>
      </c>
    </row>
    <row r="1155" spans="2:4" x14ac:dyDescent="0.2">
      <c r="D1155" s="1" t="s">
        <v>328</v>
      </c>
    </row>
    <row r="1156" spans="2:4" x14ac:dyDescent="0.2">
      <c r="B1156" s="1">
        <v>21</v>
      </c>
      <c r="C1156" s="1" t="s">
        <v>537</v>
      </c>
      <c r="D1156" s="1" t="s">
        <v>538</v>
      </c>
    </row>
    <row r="1157" spans="2:4" x14ac:dyDescent="0.2">
      <c r="D1157" s="1" t="s">
        <v>539</v>
      </c>
    </row>
    <row r="1158" spans="2:4" x14ac:dyDescent="0.2">
      <c r="D1158" s="1" t="s">
        <v>328</v>
      </c>
    </row>
    <row r="1159" spans="2:4" x14ac:dyDescent="0.2">
      <c r="B1159" s="1">
        <v>22</v>
      </c>
      <c r="C1159" s="1" t="s">
        <v>429</v>
      </c>
      <c r="D1159" s="1" t="s">
        <v>328</v>
      </c>
    </row>
    <row r="1160" spans="2:4" x14ac:dyDescent="0.2">
      <c r="D1160" s="1" t="s">
        <v>430</v>
      </c>
    </row>
    <row r="1161" spans="2:4" x14ac:dyDescent="0.2">
      <c r="D1161" s="1" t="s">
        <v>431</v>
      </c>
    </row>
    <row r="1162" spans="2:4" x14ac:dyDescent="0.2">
      <c r="B1162" s="1">
        <v>23</v>
      </c>
      <c r="C1162" s="1" t="s">
        <v>540</v>
      </c>
      <c r="D1162" s="1" t="s">
        <v>328</v>
      </c>
    </row>
    <row r="1163" spans="2:4" x14ac:dyDescent="0.2">
      <c r="D1163" s="1" t="s">
        <v>541</v>
      </c>
    </row>
    <row r="1164" spans="2:4" x14ac:dyDescent="0.2">
      <c r="B1164" s="1"/>
      <c r="C1164" s="1"/>
      <c r="D1164" s="1"/>
    </row>
    <row r="1165" spans="2:4" x14ac:dyDescent="0.2">
      <c r="D1165" s="1"/>
    </row>
    <row r="1166" spans="2:4" x14ac:dyDescent="0.2">
      <c r="B1166" s="1"/>
      <c r="C1166" s="1"/>
      <c r="D1166" s="1"/>
    </row>
    <row r="1167" spans="2:4" x14ac:dyDescent="0.2">
      <c r="B1167" s="1"/>
      <c r="C1167" s="1"/>
      <c r="D1167" s="1"/>
    </row>
    <row r="1168" spans="2:4" x14ac:dyDescent="0.2">
      <c r="B1168" s="1"/>
      <c r="C1168" s="1"/>
      <c r="D1168" s="1"/>
    </row>
    <row r="1169" spans="2:4" x14ac:dyDescent="0.2">
      <c r="D1169" s="1"/>
    </row>
    <row r="1170" spans="2:4" x14ac:dyDescent="0.2">
      <c r="B1170" s="1"/>
      <c r="C1170" s="1"/>
      <c r="D1170" s="1"/>
    </row>
    <row r="1171" spans="2:4" x14ac:dyDescent="0.2">
      <c r="D1171" s="1"/>
    </row>
    <row r="1172" spans="2:4" x14ac:dyDescent="0.2">
      <c r="D1172" s="1"/>
    </row>
    <row r="1173" spans="2:4" x14ac:dyDescent="0.2">
      <c r="D1173" s="1"/>
    </row>
    <row r="1174" spans="2:4" x14ac:dyDescent="0.2">
      <c r="B1174" s="1"/>
      <c r="C1174" s="1"/>
      <c r="D1174" s="1"/>
    </row>
    <row r="1175" spans="2:4" x14ac:dyDescent="0.2">
      <c r="D1175" s="1"/>
    </row>
    <row r="1176" spans="2:4" x14ac:dyDescent="0.2">
      <c r="D1176" s="1"/>
    </row>
    <row r="1177" spans="2:4" x14ac:dyDescent="0.2">
      <c r="B1177" s="1"/>
      <c r="C1177" s="1"/>
      <c r="D1177" s="1"/>
    </row>
    <row r="1178" spans="2:4" x14ac:dyDescent="0.2">
      <c r="D1178" s="1"/>
    </row>
    <row r="1179" spans="2:4" x14ac:dyDescent="0.2">
      <c r="B1179" s="1"/>
      <c r="C1179" s="1"/>
      <c r="D1179" s="1"/>
    </row>
    <row r="1180" spans="2:4" x14ac:dyDescent="0.2">
      <c r="D1180" s="1"/>
    </row>
    <row r="1181" spans="2:4" x14ac:dyDescent="0.2">
      <c r="B1181" s="1"/>
      <c r="C1181" s="1"/>
      <c r="D1181" s="1"/>
    </row>
    <row r="1182" spans="2:4" x14ac:dyDescent="0.2">
      <c r="B1182" s="1"/>
      <c r="C1182" s="1"/>
      <c r="D1182" s="1"/>
    </row>
    <row r="1183" spans="2:4" x14ac:dyDescent="0.2">
      <c r="D1183" s="1"/>
    </row>
    <row r="1184" spans="2:4" x14ac:dyDescent="0.2">
      <c r="D1184" s="1"/>
    </row>
    <row r="1185" spans="2:4" x14ac:dyDescent="0.2">
      <c r="B1185" s="1"/>
      <c r="C1185" s="1"/>
      <c r="D1185" s="1"/>
    </row>
    <row r="1186" spans="2:4" x14ac:dyDescent="0.2">
      <c r="B1186" s="1"/>
      <c r="C1186" s="1"/>
      <c r="D1186" s="1"/>
    </row>
    <row r="1187" spans="2:4" x14ac:dyDescent="0.2">
      <c r="D1187" s="1"/>
    </row>
    <row r="1188" spans="2:4" x14ac:dyDescent="0.2">
      <c r="D1188" s="1"/>
    </row>
    <row r="1189" spans="2:4" x14ac:dyDescent="0.2">
      <c r="B1189" s="1"/>
      <c r="C1189" s="1"/>
      <c r="D1189" s="1"/>
    </row>
    <row r="1190" spans="2:4" x14ac:dyDescent="0.2">
      <c r="B1190" s="1"/>
      <c r="C1190" s="1"/>
      <c r="D1190" s="1"/>
    </row>
    <row r="1191" spans="2:4" x14ac:dyDescent="0.2">
      <c r="D1191" s="1"/>
    </row>
    <row r="1192" spans="2:4" x14ac:dyDescent="0.2">
      <c r="B1192" s="1"/>
      <c r="C1192" s="1"/>
      <c r="D1192" s="1"/>
    </row>
    <row r="1193" spans="2:4" x14ac:dyDescent="0.2">
      <c r="D1193" s="1"/>
    </row>
    <row r="1194" spans="2:4" x14ac:dyDescent="0.2">
      <c r="D1194" s="1"/>
    </row>
    <row r="1195" spans="2:4" x14ac:dyDescent="0.2">
      <c r="B1195" s="1"/>
      <c r="C1195" s="1"/>
      <c r="D1195" s="1"/>
    </row>
    <row r="1196" spans="2:4" x14ac:dyDescent="0.2">
      <c r="D1196" s="1"/>
    </row>
    <row r="1197" spans="2:4" x14ac:dyDescent="0.2">
      <c r="B1197" s="1"/>
      <c r="C1197" s="1"/>
      <c r="D1197" s="1"/>
    </row>
    <row r="1198" spans="2:4" x14ac:dyDescent="0.2">
      <c r="B1198" s="1"/>
      <c r="C1198" s="1"/>
      <c r="D1198" s="1"/>
    </row>
    <row r="1199" spans="2:4" x14ac:dyDescent="0.2">
      <c r="D1199" s="1"/>
    </row>
    <row r="1200" spans="2:4" x14ac:dyDescent="0.2">
      <c r="B1200" s="1"/>
      <c r="C1200" s="1"/>
      <c r="D1200" s="1"/>
    </row>
    <row r="1201" spans="1:4" x14ac:dyDescent="0.2">
      <c r="B1201" s="1"/>
      <c r="C1201" s="1"/>
      <c r="D1201" s="1"/>
    </row>
    <row r="1202" spans="1:4" x14ac:dyDescent="0.2">
      <c r="B1202" s="1"/>
      <c r="C1202" s="1"/>
      <c r="D1202" s="1"/>
    </row>
    <row r="1203" spans="1:4" x14ac:dyDescent="0.2">
      <c r="D1203" s="1"/>
    </row>
    <row r="1204" spans="1:4" x14ac:dyDescent="0.2">
      <c r="B1204" s="1"/>
      <c r="C1204" s="1"/>
      <c r="D1204" s="1"/>
    </row>
    <row r="1205" spans="1:4" x14ac:dyDescent="0.2">
      <c r="B1205" s="1"/>
      <c r="C1205" s="1"/>
      <c r="D1205" s="1"/>
    </row>
    <row r="1206" spans="1:4" x14ac:dyDescent="0.2">
      <c r="D1206" s="1"/>
    </row>
    <row r="1207" spans="1:4" x14ac:dyDescent="0.2">
      <c r="D1207" s="1"/>
    </row>
    <row r="1208" spans="1:4" x14ac:dyDescent="0.2">
      <c r="B1208" s="1"/>
      <c r="C1208" s="1"/>
      <c r="D1208" s="1"/>
    </row>
    <row r="1209" spans="1:4" x14ac:dyDescent="0.2">
      <c r="A1209" s="1" t="s">
        <v>542</v>
      </c>
    </row>
    <row r="1210" spans="1:4" x14ac:dyDescent="0.2">
      <c r="C1210" s="1" t="s">
        <v>1</v>
      </c>
      <c r="D1210" s="1" t="s">
        <v>2</v>
      </c>
    </row>
    <row r="1211" spans="1:4" x14ac:dyDescent="0.2">
      <c r="B1211" s="1">
        <v>1</v>
      </c>
      <c r="C1211" s="1" t="s">
        <v>543</v>
      </c>
      <c r="D1211" s="1" t="s">
        <v>465</v>
      </c>
    </row>
    <row r="1212" spans="1:4" x14ac:dyDescent="0.2">
      <c r="B1212" s="1">
        <v>2</v>
      </c>
      <c r="C1212" s="1" t="s">
        <v>544</v>
      </c>
      <c r="D1212" s="1" t="s">
        <v>545</v>
      </c>
    </row>
    <row r="1213" spans="1:4" x14ac:dyDescent="0.2">
      <c r="D1213" s="1" t="s">
        <v>465</v>
      </c>
    </row>
    <row r="1214" spans="1:4" x14ac:dyDescent="0.2">
      <c r="B1214" s="1">
        <v>3</v>
      </c>
      <c r="C1214" s="1" t="s">
        <v>464</v>
      </c>
      <c r="D1214" s="1" t="s">
        <v>465</v>
      </c>
    </row>
    <row r="1215" spans="1:4" x14ac:dyDescent="0.2">
      <c r="D1215" s="1" t="s">
        <v>466</v>
      </c>
    </row>
    <row r="1216" spans="1:4" x14ac:dyDescent="0.2">
      <c r="D1216" s="1" t="s">
        <v>467</v>
      </c>
    </row>
    <row r="1217" spans="2:4" x14ac:dyDescent="0.2">
      <c r="B1217" s="1">
        <v>4</v>
      </c>
      <c r="C1217" s="1" t="s">
        <v>546</v>
      </c>
      <c r="D1217" s="1" t="s">
        <v>465</v>
      </c>
    </row>
    <row r="1218" spans="2:4" x14ac:dyDescent="0.2">
      <c r="D1218" s="1" t="s">
        <v>547</v>
      </c>
    </row>
    <row r="1219" spans="2:4" x14ac:dyDescent="0.2">
      <c r="D1219" s="1" t="s">
        <v>548</v>
      </c>
    </row>
    <row r="1220" spans="2:4" x14ac:dyDescent="0.2">
      <c r="B1220" s="1">
        <v>5</v>
      </c>
      <c r="C1220" s="1" t="s">
        <v>549</v>
      </c>
      <c r="D1220" s="1" t="s">
        <v>465</v>
      </c>
    </row>
    <row r="1221" spans="2:4" x14ac:dyDescent="0.2">
      <c r="D1221" s="1" t="s">
        <v>550</v>
      </c>
    </row>
    <row r="1222" spans="2:4" x14ac:dyDescent="0.2">
      <c r="D1222" s="1" t="s">
        <v>551</v>
      </c>
    </row>
    <row r="1223" spans="2:4" x14ac:dyDescent="0.2">
      <c r="B1223" s="1">
        <v>6</v>
      </c>
      <c r="C1223" s="1" t="s">
        <v>552</v>
      </c>
      <c r="D1223" s="1" t="s">
        <v>553</v>
      </c>
    </row>
    <row r="1224" spans="2:4" x14ac:dyDescent="0.2">
      <c r="D1224" s="1" t="s">
        <v>554</v>
      </c>
    </row>
    <row r="1225" spans="2:4" x14ac:dyDescent="0.2">
      <c r="D1225" s="1" t="s">
        <v>555</v>
      </c>
    </row>
    <row r="1226" spans="2:4" x14ac:dyDescent="0.2">
      <c r="D1226" s="1" t="s">
        <v>465</v>
      </c>
    </row>
    <row r="1227" spans="2:4" x14ac:dyDescent="0.2">
      <c r="B1227" s="1">
        <v>7</v>
      </c>
      <c r="C1227" s="1" t="s">
        <v>488</v>
      </c>
      <c r="D1227" s="1" t="s">
        <v>465</v>
      </c>
    </row>
    <row r="1228" spans="2:4" x14ac:dyDescent="0.2">
      <c r="D1228" s="1" t="s">
        <v>489</v>
      </c>
    </row>
    <row r="1229" spans="2:4" x14ac:dyDescent="0.2">
      <c r="D1229" s="1" t="s">
        <v>490</v>
      </c>
    </row>
    <row r="1230" spans="2:4" x14ac:dyDescent="0.2">
      <c r="B1230" s="1">
        <v>8</v>
      </c>
      <c r="C1230" s="1" t="s">
        <v>556</v>
      </c>
      <c r="D1230" s="1" t="s">
        <v>308</v>
      </c>
    </row>
    <row r="1231" spans="2:4" x14ac:dyDescent="0.2">
      <c r="D1231" s="1" t="s">
        <v>465</v>
      </c>
    </row>
    <row r="1232" spans="2:4" x14ac:dyDescent="0.2">
      <c r="D1232" s="1" t="s">
        <v>557</v>
      </c>
    </row>
    <row r="1233" spans="1:4" x14ac:dyDescent="0.2">
      <c r="B1233" s="1">
        <v>9</v>
      </c>
      <c r="C1233" s="1" t="s">
        <v>558</v>
      </c>
      <c r="D1233" s="1" t="s">
        <v>465</v>
      </c>
    </row>
    <row r="1234" spans="1:4" x14ac:dyDescent="0.2">
      <c r="B1234" s="1">
        <v>10</v>
      </c>
      <c r="C1234" s="1" t="s">
        <v>559</v>
      </c>
      <c r="D1234" s="1" t="s">
        <v>560</v>
      </c>
    </row>
    <row r="1235" spans="1:4" x14ac:dyDescent="0.2">
      <c r="D1235" s="1" t="s">
        <v>561</v>
      </c>
    </row>
    <row r="1236" spans="1:4" x14ac:dyDescent="0.2">
      <c r="D1236" s="1" t="s">
        <v>465</v>
      </c>
    </row>
    <row r="1237" spans="1:4" x14ac:dyDescent="0.2">
      <c r="D1237" s="1" t="s">
        <v>547</v>
      </c>
    </row>
    <row r="1238" spans="1:4" x14ac:dyDescent="0.2">
      <c r="A1238" s="1" t="s">
        <v>562</v>
      </c>
    </row>
    <row r="1239" spans="1:4" x14ac:dyDescent="0.2">
      <c r="C1239" s="1" t="s">
        <v>1</v>
      </c>
      <c r="D1239" s="1" t="s">
        <v>2</v>
      </c>
    </row>
    <row r="1240" spans="1:4" x14ac:dyDescent="0.2">
      <c r="B1240" s="1">
        <v>1</v>
      </c>
      <c r="C1240" s="1" t="s">
        <v>563</v>
      </c>
      <c r="D1240" s="1" t="s">
        <v>386</v>
      </c>
    </row>
    <row r="1241" spans="1:4" x14ac:dyDescent="0.2">
      <c r="C1241" s="1" t="s">
        <v>385</v>
      </c>
      <c r="D1241" s="1" t="s">
        <v>267</v>
      </c>
    </row>
    <row r="1242" spans="1:4" x14ac:dyDescent="0.2">
      <c r="D1242" s="1" t="s">
        <v>386</v>
      </c>
    </row>
    <row r="1243" spans="1:4" x14ac:dyDescent="0.2">
      <c r="D1243" s="1" t="s">
        <v>387</v>
      </c>
    </row>
    <row r="1244" spans="1:4" x14ac:dyDescent="0.2">
      <c r="B1244" s="1">
        <v>2</v>
      </c>
      <c r="C1244" s="1" t="s">
        <v>505</v>
      </c>
      <c r="D1244" s="1" t="s">
        <v>328</v>
      </c>
    </row>
    <row r="1245" spans="1:4" x14ac:dyDescent="0.2">
      <c r="D1245" s="1" t="s">
        <v>506</v>
      </c>
    </row>
    <row r="1246" spans="1:4" x14ac:dyDescent="0.2">
      <c r="C1246" s="1" t="s">
        <v>512</v>
      </c>
      <c r="D1246" s="1" t="s">
        <v>513</v>
      </c>
    </row>
    <row r="1247" spans="1:4" x14ac:dyDescent="0.2">
      <c r="D1247" s="1" t="s">
        <v>328</v>
      </c>
    </row>
    <row r="1248" spans="1:4" x14ac:dyDescent="0.2">
      <c r="B1248" s="1">
        <v>3</v>
      </c>
      <c r="C1248" s="1" t="s">
        <v>564</v>
      </c>
      <c r="D1248" s="1" t="s">
        <v>565</v>
      </c>
    </row>
    <row r="1249" spans="2:4" x14ac:dyDescent="0.2">
      <c r="C1249" s="1" t="s">
        <v>566</v>
      </c>
      <c r="D1249" s="1" t="s">
        <v>567</v>
      </c>
    </row>
    <row r="1250" spans="2:4" x14ac:dyDescent="0.2">
      <c r="D1250" s="1" t="s">
        <v>568</v>
      </c>
    </row>
    <row r="1251" spans="2:4" x14ac:dyDescent="0.2">
      <c r="B1251" s="1">
        <v>4</v>
      </c>
      <c r="C1251" s="1" t="s">
        <v>569</v>
      </c>
      <c r="D1251" s="1" t="s">
        <v>570</v>
      </c>
    </row>
    <row r="1252" spans="2:4" x14ac:dyDescent="0.2">
      <c r="C1252" s="1" t="s">
        <v>571</v>
      </c>
      <c r="D1252" s="1" t="s">
        <v>572</v>
      </c>
    </row>
    <row r="1253" spans="2:4" x14ac:dyDescent="0.2">
      <c r="B1253" s="1">
        <v>5</v>
      </c>
      <c r="C1253" s="1" t="s">
        <v>573</v>
      </c>
      <c r="D1253" s="1" t="s">
        <v>574</v>
      </c>
    </row>
    <row r="1254" spans="2:4" x14ac:dyDescent="0.2">
      <c r="C1254" s="1" t="s">
        <v>575</v>
      </c>
      <c r="D1254" s="1" t="s">
        <v>576</v>
      </c>
    </row>
    <row r="1255" spans="2:4" x14ac:dyDescent="0.2">
      <c r="D1255" s="1" t="s">
        <v>577</v>
      </c>
    </row>
    <row r="1256" spans="2:4" x14ac:dyDescent="0.2">
      <c r="D1256" s="1" t="s">
        <v>578</v>
      </c>
    </row>
    <row r="1257" spans="2:4" x14ac:dyDescent="0.2">
      <c r="B1257" s="1">
        <v>6</v>
      </c>
      <c r="C1257" s="1" t="s">
        <v>579</v>
      </c>
      <c r="D1257" s="1" t="s">
        <v>580</v>
      </c>
    </row>
    <row r="1258" spans="2:4" x14ac:dyDescent="0.2">
      <c r="C1258" s="1" t="s">
        <v>581</v>
      </c>
      <c r="D1258" s="1" t="s">
        <v>328</v>
      </c>
    </row>
    <row r="1259" spans="2:4" x14ac:dyDescent="0.2">
      <c r="D1259" s="1" t="s">
        <v>582</v>
      </c>
    </row>
    <row r="1260" spans="2:4" x14ac:dyDescent="0.2">
      <c r="B1260" s="1">
        <v>7</v>
      </c>
      <c r="C1260" s="1" t="s">
        <v>514</v>
      </c>
      <c r="D1260" s="1" t="s">
        <v>328</v>
      </c>
    </row>
    <row r="1261" spans="2:4" x14ac:dyDescent="0.2">
      <c r="D1261" s="1" t="s">
        <v>515</v>
      </c>
    </row>
    <row r="1262" spans="2:4" x14ac:dyDescent="0.2">
      <c r="C1262" s="1" t="s">
        <v>583</v>
      </c>
      <c r="D1262" s="1" t="s">
        <v>584</v>
      </c>
    </row>
    <row r="1263" spans="2:4" x14ac:dyDescent="0.2">
      <c r="B1263" s="1">
        <v>8</v>
      </c>
      <c r="C1263" s="1" t="s">
        <v>399</v>
      </c>
      <c r="D1263" s="1" t="s">
        <v>400</v>
      </c>
    </row>
    <row r="1264" spans="2:4" x14ac:dyDescent="0.2">
      <c r="C1264" s="1" t="s">
        <v>401</v>
      </c>
      <c r="D1264" s="1" t="s">
        <v>402</v>
      </c>
    </row>
    <row r="1265" spans="2:4" x14ac:dyDescent="0.2">
      <c r="D1265" s="1" t="s">
        <v>403</v>
      </c>
    </row>
    <row r="1266" spans="2:4" x14ac:dyDescent="0.2">
      <c r="B1266" s="1">
        <v>9</v>
      </c>
      <c r="C1266" s="1" t="s">
        <v>516</v>
      </c>
      <c r="D1266" s="1" t="s">
        <v>517</v>
      </c>
    </row>
    <row r="1267" spans="2:4" x14ac:dyDescent="0.2">
      <c r="D1267" s="1" t="s">
        <v>328</v>
      </c>
    </row>
    <row r="1268" spans="2:4" x14ac:dyDescent="0.2">
      <c r="D1268" s="1" t="s">
        <v>518</v>
      </c>
    </row>
    <row r="1269" spans="2:4" x14ac:dyDescent="0.2">
      <c r="C1269" s="1" t="s">
        <v>585</v>
      </c>
      <c r="D1269" s="1" t="s">
        <v>586</v>
      </c>
    </row>
    <row r="1270" spans="2:4" x14ac:dyDescent="0.2">
      <c r="D1270" s="1" t="s">
        <v>328</v>
      </c>
    </row>
    <row r="1271" spans="2:4" x14ac:dyDescent="0.2">
      <c r="D1271" s="1" t="s">
        <v>587</v>
      </c>
    </row>
    <row r="1272" spans="2:4" x14ac:dyDescent="0.2">
      <c r="B1272" s="1">
        <v>10</v>
      </c>
      <c r="C1272" s="1" t="s">
        <v>519</v>
      </c>
      <c r="D1272" s="1" t="s">
        <v>328</v>
      </c>
    </row>
    <row r="1273" spans="2:4" x14ac:dyDescent="0.2">
      <c r="D1273" s="1" t="s">
        <v>520</v>
      </c>
    </row>
    <row r="1274" spans="2:4" x14ac:dyDescent="0.2">
      <c r="C1274" s="1" t="s">
        <v>527</v>
      </c>
      <c r="D1274" s="1" t="s">
        <v>528</v>
      </c>
    </row>
    <row r="1275" spans="2:4" x14ac:dyDescent="0.2">
      <c r="D1275" s="1" t="s">
        <v>328</v>
      </c>
    </row>
    <row r="1276" spans="2:4" x14ac:dyDescent="0.2">
      <c r="B1276" s="1">
        <v>11</v>
      </c>
      <c r="C1276" s="1" t="s">
        <v>521</v>
      </c>
      <c r="D1276" s="1" t="s">
        <v>522</v>
      </c>
    </row>
    <row r="1277" spans="2:4" x14ac:dyDescent="0.2">
      <c r="D1277" s="1" t="s">
        <v>328</v>
      </c>
    </row>
    <row r="1278" spans="2:4" x14ac:dyDescent="0.2">
      <c r="C1278" s="1" t="s">
        <v>588</v>
      </c>
      <c r="D1278" s="1" t="s">
        <v>589</v>
      </c>
    </row>
    <row r="1279" spans="2:4" x14ac:dyDescent="0.2">
      <c r="B1279" s="1">
        <v>12</v>
      </c>
      <c r="C1279" s="1" t="s">
        <v>523</v>
      </c>
      <c r="D1279" s="1" t="s">
        <v>328</v>
      </c>
    </row>
    <row r="1280" spans="2:4" x14ac:dyDescent="0.2">
      <c r="D1280" s="1" t="s">
        <v>524</v>
      </c>
    </row>
    <row r="1281" spans="2:4" x14ac:dyDescent="0.2">
      <c r="C1281" s="1" t="s">
        <v>590</v>
      </c>
      <c r="D1281" s="1" t="s">
        <v>591</v>
      </c>
    </row>
    <row r="1282" spans="2:4" x14ac:dyDescent="0.2">
      <c r="D1282" s="1" t="s">
        <v>328</v>
      </c>
    </row>
    <row r="1283" spans="2:4" x14ac:dyDescent="0.2">
      <c r="B1283" s="1">
        <v>13</v>
      </c>
      <c r="C1283" s="1" t="s">
        <v>592</v>
      </c>
      <c r="D1283" s="1" t="s">
        <v>593</v>
      </c>
    </row>
    <row r="1284" spans="2:4" x14ac:dyDescent="0.2">
      <c r="C1284" s="1" t="s">
        <v>594</v>
      </c>
      <c r="D1284" s="1" t="s">
        <v>595</v>
      </c>
    </row>
    <row r="1285" spans="2:4" x14ac:dyDescent="0.2">
      <c r="D1285" s="1" t="s">
        <v>596</v>
      </c>
    </row>
    <row r="1286" spans="2:4" x14ac:dyDescent="0.2">
      <c r="B1286" s="1">
        <v>14</v>
      </c>
      <c r="C1286" s="1" t="s">
        <v>597</v>
      </c>
      <c r="D1286" s="1" t="s">
        <v>598</v>
      </c>
    </row>
    <row r="1287" spans="2:4" x14ac:dyDescent="0.2">
      <c r="C1287" s="1" t="s">
        <v>599</v>
      </c>
      <c r="D1287" s="1" t="s">
        <v>600</v>
      </c>
    </row>
    <row r="1288" spans="2:4" x14ac:dyDescent="0.2">
      <c r="D1288" s="1" t="s">
        <v>601</v>
      </c>
    </row>
    <row r="1289" spans="2:4" x14ac:dyDescent="0.2">
      <c r="B1289" s="1"/>
      <c r="C1289" s="1"/>
      <c r="D1289" s="1"/>
    </row>
    <row r="1290" spans="2:4" x14ac:dyDescent="0.2">
      <c r="D1290" s="1"/>
    </row>
    <row r="1291" spans="2:4" x14ac:dyDescent="0.2">
      <c r="C1291" s="1"/>
      <c r="D1291" s="1"/>
    </row>
    <row r="1292" spans="2:4" x14ac:dyDescent="0.2">
      <c r="D1292" s="1"/>
    </row>
    <row r="1293" spans="2:4" x14ac:dyDescent="0.2">
      <c r="D1293" s="1"/>
    </row>
    <row r="1294" spans="2:4" x14ac:dyDescent="0.2">
      <c r="B1294" s="1"/>
      <c r="C1294" s="1"/>
      <c r="D1294" s="1"/>
    </row>
    <row r="1295" spans="2:4" x14ac:dyDescent="0.2">
      <c r="D1295" s="1"/>
    </row>
    <row r="1296" spans="2:4" x14ac:dyDescent="0.2">
      <c r="D1296" s="1"/>
    </row>
    <row r="1297" spans="2:4" x14ac:dyDescent="0.2">
      <c r="C1297" s="1"/>
      <c r="D1297" s="1"/>
    </row>
    <row r="1298" spans="2:4" x14ac:dyDescent="0.2">
      <c r="D1298" s="1"/>
    </row>
    <row r="1299" spans="2:4" x14ac:dyDescent="0.2">
      <c r="D1299" s="1"/>
    </row>
    <row r="1300" spans="2:4" x14ac:dyDescent="0.2">
      <c r="B1300" s="1"/>
      <c r="C1300" s="1"/>
      <c r="D1300" s="1"/>
    </row>
    <row r="1301" spans="2:4" x14ac:dyDescent="0.2">
      <c r="D1301" s="1"/>
    </row>
    <row r="1302" spans="2:4" x14ac:dyDescent="0.2">
      <c r="D1302" s="1"/>
    </row>
    <row r="1303" spans="2:4" x14ac:dyDescent="0.2">
      <c r="C1303" s="1"/>
      <c r="D1303" s="1"/>
    </row>
    <row r="1304" spans="2:4" x14ac:dyDescent="0.2">
      <c r="D1304" s="1"/>
    </row>
    <row r="1305" spans="2:4" x14ac:dyDescent="0.2">
      <c r="B1305" s="1"/>
      <c r="C1305" s="1"/>
      <c r="D1305" s="1"/>
    </row>
    <row r="1306" spans="2:4" x14ac:dyDescent="0.2">
      <c r="D1306" s="1"/>
    </row>
    <row r="1307" spans="2:4" x14ac:dyDescent="0.2">
      <c r="D1307" s="1"/>
    </row>
    <row r="1308" spans="2:4" x14ac:dyDescent="0.2">
      <c r="C1308" s="1"/>
      <c r="D1308" s="1"/>
    </row>
    <row r="1309" spans="2:4" x14ac:dyDescent="0.2">
      <c r="D1309" s="1"/>
    </row>
    <row r="1310" spans="2:4" x14ac:dyDescent="0.2">
      <c r="B1310" s="1"/>
      <c r="C1310" s="1"/>
      <c r="D1310" s="1"/>
    </row>
    <row r="1311" spans="2:4" x14ac:dyDescent="0.2">
      <c r="D1311" s="1"/>
    </row>
    <row r="1312" spans="2:4" x14ac:dyDescent="0.2">
      <c r="D1312" s="1"/>
    </row>
    <row r="1313" spans="1:4" x14ac:dyDescent="0.2">
      <c r="D1313" s="1"/>
    </row>
    <row r="1314" spans="1:4" x14ac:dyDescent="0.2">
      <c r="C1314" s="1"/>
      <c r="D1314" s="1"/>
    </row>
    <row r="1315" spans="1:4" x14ac:dyDescent="0.2">
      <c r="D1315" s="1"/>
    </row>
    <row r="1316" spans="1:4" x14ac:dyDescent="0.2">
      <c r="B1316" s="1"/>
      <c r="C1316" s="1"/>
      <c r="D1316" s="1"/>
    </row>
    <row r="1317" spans="1:4" x14ac:dyDescent="0.2">
      <c r="D1317" s="1"/>
    </row>
    <row r="1318" spans="1:4" x14ac:dyDescent="0.2">
      <c r="D1318" s="1"/>
    </row>
    <row r="1319" spans="1:4" x14ac:dyDescent="0.2">
      <c r="C1319" s="1"/>
      <c r="D1319" s="1"/>
    </row>
    <row r="1320" spans="1:4" x14ac:dyDescent="0.2">
      <c r="B1320" s="1"/>
      <c r="C1320" s="1"/>
      <c r="D1320" s="1"/>
    </row>
    <row r="1321" spans="1:4" x14ac:dyDescent="0.2">
      <c r="D1321" s="1"/>
    </row>
    <row r="1322" spans="1:4" x14ac:dyDescent="0.2">
      <c r="C1322" s="1"/>
      <c r="D1322" s="1"/>
    </row>
    <row r="1323" spans="1:4" x14ac:dyDescent="0.2">
      <c r="D1323" s="1"/>
    </row>
    <row r="1324" spans="1:4" x14ac:dyDescent="0.2">
      <c r="A1324" s="1" t="s">
        <v>602</v>
      </c>
    </row>
    <row r="1325" spans="1:4" x14ac:dyDescent="0.2">
      <c r="C1325" s="1" t="s">
        <v>1</v>
      </c>
      <c r="D1325" s="1" t="s">
        <v>2</v>
      </c>
    </row>
    <row r="1326" spans="1:4" x14ac:dyDescent="0.2">
      <c r="B1326" s="1">
        <v>1</v>
      </c>
      <c r="C1326" s="1" t="s">
        <v>603</v>
      </c>
      <c r="D1326" s="1" t="s">
        <v>604</v>
      </c>
    </row>
    <row r="1328" spans="1:4" x14ac:dyDescent="0.2">
      <c r="A1328" s="1" t="s">
        <v>605</v>
      </c>
    </row>
    <row r="1329" spans="2:4" x14ac:dyDescent="0.2">
      <c r="C1329" s="1" t="s">
        <v>1</v>
      </c>
      <c r="D1329" s="1" t="s">
        <v>2</v>
      </c>
    </row>
    <row r="1330" spans="2:4" x14ac:dyDescent="0.2">
      <c r="B1330" s="1">
        <v>1</v>
      </c>
      <c r="C1330" s="1" t="s">
        <v>367</v>
      </c>
      <c r="D1330" s="1" t="s">
        <v>368</v>
      </c>
    </row>
    <row r="1331" spans="2:4" x14ac:dyDescent="0.2">
      <c r="D1331" s="1" t="s">
        <v>308</v>
      </c>
    </row>
    <row r="1332" spans="2:4" x14ac:dyDescent="0.2">
      <c r="C1332" s="1" t="s">
        <v>606</v>
      </c>
      <c r="D1332" s="1" t="s">
        <v>607</v>
      </c>
    </row>
    <row r="1333" spans="2:4" x14ac:dyDescent="0.2">
      <c r="D1333" s="1" t="s">
        <v>608</v>
      </c>
    </row>
    <row r="1334" spans="2:4" x14ac:dyDescent="0.2">
      <c r="B1334" s="1">
        <v>2</v>
      </c>
      <c r="C1334" s="1" t="s">
        <v>609</v>
      </c>
      <c r="D1334" s="1" t="s">
        <v>610</v>
      </c>
    </row>
    <row r="1335" spans="2:4" x14ac:dyDescent="0.2">
      <c r="D1335" s="1" t="s">
        <v>611</v>
      </c>
    </row>
    <row r="1336" spans="2:4" x14ac:dyDescent="0.2">
      <c r="C1336" s="1" t="s">
        <v>612</v>
      </c>
      <c r="D1336" s="1" t="s">
        <v>613</v>
      </c>
    </row>
    <row r="1337" spans="2:4" x14ac:dyDescent="0.2">
      <c r="B1337" s="1">
        <v>3</v>
      </c>
      <c r="C1337" s="1" t="s">
        <v>614</v>
      </c>
      <c r="D1337" s="1" t="s">
        <v>615</v>
      </c>
    </row>
    <row r="1338" spans="2:4" x14ac:dyDescent="0.2">
      <c r="D1338" s="1" t="s">
        <v>616</v>
      </c>
    </row>
    <row r="1339" spans="2:4" x14ac:dyDescent="0.2">
      <c r="C1339" s="1" t="s">
        <v>617</v>
      </c>
      <c r="D1339" s="1" t="s">
        <v>453</v>
      </c>
    </row>
    <row r="1340" spans="2:4" x14ac:dyDescent="0.2">
      <c r="D1340" s="1" t="s">
        <v>618</v>
      </c>
    </row>
    <row r="1341" spans="2:4" x14ac:dyDescent="0.2">
      <c r="D1341" s="1" t="s">
        <v>619</v>
      </c>
    </row>
    <row r="1342" spans="2:4" x14ac:dyDescent="0.2">
      <c r="B1342" s="1">
        <v>4</v>
      </c>
      <c r="C1342" s="1" t="s">
        <v>544</v>
      </c>
      <c r="D1342" s="1" t="s">
        <v>545</v>
      </c>
    </row>
    <row r="1343" spans="2:4" x14ac:dyDescent="0.2">
      <c r="D1343" s="1" t="s">
        <v>465</v>
      </c>
    </row>
    <row r="1344" spans="2:4" x14ac:dyDescent="0.2">
      <c r="C1344" s="1" t="s">
        <v>549</v>
      </c>
      <c r="D1344" s="1" t="s">
        <v>465</v>
      </c>
    </row>
    <row r="1345" spans="2:4" x14ac:dyDescent="0.2">
      <c r="D1345" s="1" t="s">
        <v>550</v>
      </c>
    </row>
    <row r="1346" spans="2:4" x14ac:dyDescent="0.2">
      <c r="D1346" s="1" t="s">
        <v>551</v>
      </c>
    </row>
    <row r="1347" spans="2:4" x14ac:dyDescent="0.2">
      <c r="B1347" s="1">
        <v>5</v>
      </c>
      <c r="C1347" s="1" t="s">
        <v>464</v>
      </c>
      <c r="D1347" s="1" t="s">
        <v>465</v>
      </c>
    </row>
    <row r="1348" spans="2:4" x14ac:dyDescent="0.2">
      <c r="D1348" s="1" t="s">
        <v>466</v>
      </c>
    </row>
    <row r="1349" spans="2:4" x14ac:dyDescent="0.2">
      <c r="D1349" s="1" t="s">
        <v>467</v>
      </c>
    </row>
    <row r="1350" spans="2:4" x14ac:dyDescent="0.2">
      <c r="C1350" s="1" t="s">
        <v>488</v>
      </c>
      <c r="D1350" s="1" t="s">
        <v>465</v>
      </c>
    </row>
    <row r="1351" spans="2:4" x14ac:dyDescent="0.2">
      <c r="D1351" s="1" t="s">
        <v>489</v>
      </c>
    </row>
    <row r="1352" spans="2:4" x14ac:dyDescent="0.2">
      <c r="D1352" s="1" t="s">
        <v>490</v>
      </c>
    </row>
    <row r="1353" spans="2:4" x14ac:dyDescent="0.2">
      <c r="B1353" s="1">
        <v>6</v>
      </c>
      <c r="C1353" s="1" t="s">
        <v>546</v>
      </c>
      <c r="D1353" s="1" t="s">
        <v>465</v>
      </c>
    </row>
    <row r="1354" spans="2:4" x14ac:dyDescent="0.2">
      <c r="D1354" s="1" t="s">
        <v>547</v>
      </c>
    </row>
    <row r="1355" spans="2:4" x14ac:dyDescent="0.2">
      <c r="D1355" s="1" t="s">
        <v>548</v>
      </c>
    </row>
    <row r="1356" spans="2:4" x14ac:dyDescent="0.2">
      <c r="C1356" s="1" t="s">
        <v>559</v>
      </c>
      <c r="D1356" s="1" t="s">
        <v>560</v>
      </c>
    </row>
    <row r="1357" spans="2:4" x14ac:dyDescent="0.2">
      <c r="D1357" s="1" t="s">
        <v>561</v>
      </c>
    </row>
    <row r="1358" spans="2:4" x14ac:dyDescent="0.2">
      <c r="D1358" s="1" t="s">
        <v>465</v>
      </c>
    </row>
    <row r="1359" spans="2:4" x14ac:dyDescent="0.2">
      <c r="D1359" s="1" t="s">
        <v>547</v>
      </c>
    </row>
    <row r="1360" spans="2:4" x14ac:dyDescent="0.2">
      <c r="B1360" s="1"/>
      <c r="C1360" s="1"/>
      <c r="D1360" s="1"/>
    </row>
    <row r="1361" spans="1:4" x14ac:dyDescent="0.2">
      <c r="D1361" s="1"/>
    </row>
    <row r="1362" spans="1:4" x14ac:dyDescent="0.2">
      <c r="C1362" s="1"/>
      <c r="D1362" s="1"/>
    </row>
    <row r="1363" spans="1:4" x14ac:dyDescent="0.2">
      <c r="D1363" s="1"/>
    </row>
    <row r="1364" spans="1:4" x14ac:dyDescent="0.2">
      <c r="A1364" s="1" t="s">
        <v>620</v>
      </c>
    </row>
    <row r="1365" spans="1:4" x14ac:dyDescent="0.2">
      <c r="C1365" s="1" t="s">
        <v>1</v>
      </c>
      <c r="D1365" s="1" t="s">
        <v>2</v>
      </c>
    </row>
    <row r="1366" spans="1:4" x14ac:dyDescent="0.2">
      <c r="B1366" s="1">
        <v>1</v>
      </c>
      <c r="C1366" s="1" t="s">
        <v>621</v>
      </c>
      <c r="D1366" s="1" t="s">
        <v>622</v>
      </c>
    </row>
    <row r="1367" spans="1:4" x14ac:dyDescent="0.2">
      <c r="C1367" s="1" t="s">
        <v>623</v>
      </c>
      <c r="D1367" s="1" t="s">
        <v>624</v>
      </c>
    </row>
    <row r="1368" spans="1:4" x14ac:dyDescent="0.2">
      <c r="B1368" s="1">
        <v>2</v>
      </c>
      <c r="C1368" s="1" t="s">
        <v>516</v>
      </c>
      <c r="D1368" s="1" t="s">
        <v>517</v>
      </c>
    </row>
    <row r="1369" spans="1:4" x14ac:dyDescent="0.2">
      <c r="D1369" s="1" t="s">
        <v>328</v>
      </c>
    </row>
    <row r="1370" spans="1:4" x14ac:dyDescent="0.2">
      <c r="D1370" s="1" t="s">
        <v>518</v>
      </c>
    </row>
    <row r="1371" spans="1:4" x14ac:dyDescent="0.2">
      <c r="C1371" s="1" t="s">
        <v>617</v>
      </c>
      <c r="D1371" s="1" t="s">
        <v>453</v>
      </c>
    </row>
    <row r="1372" spans="1:4" x14ac:dyDescent="0.2">
      <c r="D1372" s="1" t="s">
        <v>618</v>
      </c>
    </row>
    <row r="1373" spans="1:4" x14ac:dyDescent="0.2">
      <c r="D1373" s="1" t="s">
        <v>619</v>
      </c>
    </row>
    <row r="1374" spans="1:4" x14ac:dyDescent="0.2">
      <c r="B1374" s="1">
        <v>3</v>
      </c>
      <c r="C1374" s="1" t="s">
        <v>531</v>
      </c>
      <c r="D1374" s="1" t="s">
        <v>532</v>
      </c>
    </row>
    <row r="1375" spans="1:4" x14ac:dyDescent="0.2">
      <c r="D1375" s="1" t="s">
        <v>533</v>
      </c>
    </row>
    <row r="1376" spans="1:4" x14ac:dyDescent="0.2">
      <c r="D1376" s="1" t="s">
        <v>328</v>
      </c>
    </row>
    <row r="1377" spans="2:4" x14ac:dyDescent="0.2">
      <c r="C1377" s="1" t="s">
        <v>625</v>
      </c>
      <c r="D1377" s="1" t="s">
        <v>626</v>
      </c>
    </row>
    <row r="1378" spans="2:4" x14ac:dyDescent="0.2">
      <c r="D1378" s="1" t="s">
        <v>627</v>
      </c>
    </row>
    <row r="1379" spans="2:4" x14ac:dyDescent="0.2">
      <c r="B1379" s="1">
        <v>4</v>
      </c>
      <c r="C1379" s="1" t="s">
        <v>534</v>
      </c>
      <c r="D1379" s="1" t="s">
        <v>535</v>
      </c>
    </row>
    <row r="1380" spans="2:4" x14ac:dyDescent="0.2">
      <c r="D1380" s="1" t="s">
        <v>536</v>
      </c>
    </row>
    <row r="1381" spans="2:4" x14ac:dyDescent="0.2">
      <c r="D1381" s="1" t="s">
        <v>328</v>
      </c>
    </row>
    <row r="1382" spans="2:4" x14ac:dyDescent="0.2">
      <c r="C1382" s="1" t="s">
        <v>556</v>
      </c>
      <c r="D1382" s="1" t="s">
        <v>308</v>
      </c>
    </row>
    <row r="1383" spans="2:4" x14ac:dyDescent="0.2">
      <c r="D1383" s="1" t="s">
        <v>465</v>
      </c>
    </row>
    <row r="1384" spans="2:4" x14ac:dyDescent="0.2">
      <c r="D1384" s="1" t="s">
        <v>557</v>
      </c>
    </row>
    <row r="1385" spans="2:4" x14ac:dyDescent="0.2">
      <c r="B1385" s="1">
        <v>5</v>
      </c>
      <c r="C1385" s="1" t="s">
        <v>537</v>
      </c>
      <c r="D1385" s="1" t="s">
        <v>538</v>
      </c>
    </row>
    <row r="1386" spans="2:4" x14ac:dyDescent="0.2">
      <c r="D1386" s="1" t="s">
        <v>539</v>
      </c>
    </row>
    <row r="1387" spans="2:4" x14ac:dyDescent="0.2">
      <c r="D1387" s="1" t="s">
        <v>328</v>
      </c>
    </row>
    <row r="1388" spans="2:4" x14ac:dyDescent="0.2">
      <c r="C1388" s="1" t="s">
        <v>376</v>
      </c>
      <c r="D1388" s="1" t="s">
        <v>308</v>
      </c>
    </row>
    <row r="1389" spans="2:4" x14ac:dyDescent="0.2">
      <c r="D1389" s="1" t="s">
        <v>377</v>
      </c>
    </row>
    <row r="1390" spans="2:4" x14ac:dyDescent="0.2">
      <c r="D1390" s="1" t="s">
        <v>378</v>
      </c>
    </row>
    <row r="1391" spans="2:4" x14ac:dyDescent="0.2">
      <c r="B1391" s="1">
        <v>6</v>
      </c>
      <c r="C1391" s="1" t="s">
        <v>540</v>
      </c>
      <c r="D1391" s="1" t="s">
        <v>328</v>
      </c>
    </row>
    <row r="1392" spans="2:4" x14ac:dyDescent="0.2">
      <c r="D1392" s="1" t="s">
        <v>541</v>
      </c>
    </row>
    <row r="1393" spans="2:4" x14ac:dyDescent="0.2">
      <c r="C1393" s="1" t="s">
        <v>549</v>
      </c>
      <c r="D1393" s="1" t="s">
        <v>465</v>
      </c>
    </row>
    <row r="1394" spans="2:4" x14ac:dyDescent="0.2">
      <c r="D1394" s="1" t="s">
        <v>550</v>
      </c>
    </row>
    <row r="1395" spans="2:4" x14ac:dyDescent="0.2">
      <c r="D1395" s="1" t="s">
        <v>551</v>
      </c>
    </row>
    <row r="1396" spans="2:4" x14ac:dyDescent="0.2">
      <c r="B1396" s="1">
        <v>7</v>
      </c>
      <c r="C1396" s="1" t="s">
        <v>435</v>
      </c>
      <c r="D1396" s="1" t="s">
        <v>436</v>
      </c>
    </row>
    <row r="1397" spans="2:4" x14ac:dyDescent="0.2">
      <c r="D1397" s="1" t="s">
        <v>437</v>
      </c>
    </row>
    <row r="1398" spans="2:4" x14ac:dyDescent="0.2">
      <c r="C1398" s="1" t="s">
        <v>628</v>
      </c>
      <c r="D1398" s="1" t="s">
        <v>629</v>
      </c>
    </row>
    <row r="1399" spans="2:4" x14ac:dyDescent="0.2">
      <c r="B1399" s="1">
        <v>8</v>
      </c>
      <c r="C1399" s="1" t="s">
        <v>594</v>
      </c>
      <c r="D1399" s="1" t="s">
        <v>595</v>
      </c>
    </row>
    <row r="1400" spans="2:4" x14ac:dyDescent="0.2">
      <c r="D1400" s="1" t="s">
        <v>596</v>
      </c>
    </row>
    <row r="1401" spans="2:4" x14ac:dyDescent="0.2">
      <c r="C1401" s="1" t="s">
        <v>609</v>
      </c>
      <c r="D1401" s="1" t="s">
        <v>610</v>
      </c>
    </row>
    <row r="1402" spans="2:4" x14ac:dyDescent="0.2">
      <c r="D1402" s="1" t="s">
        <v>611</v>
      </c>
    </row>
    <row r="1403" spans="2:4" x14ac:dyDescent="0.2">
      <c r="B1403" s="1"/>
      <c r="C1403" s="1"/>
      <c r="D1403" s="1"/>
    </row>
    <row r="1404" spans="2:4" x14ac:dyDescent="0.2">
      <c r="C1404" s="1"/>
      <c r="D1404" s="1"/>
    </row>
    <row r="1405" spans="2:4" x14ac:dyDescent="0.2">
      <c r="B1405" s="1"/>
      <c r="C1405" s="1"/>
      <c r="D1405" s="1"/>
    </row>
    <row r="1406" spans="2:4" x14ac:dyDescent="0.2">
      <c r="C1406" s="1"/>
      <c r="D1406" s="1"/>
    </row>
    <row r="1407" spans="2:4" x14ac:dyDescent="0.2">
      <c r="D1407" s="1"/>
    </row>
    <row r="1408" spans="2:4" x14ac:dyDescent="0.2">
      <c r="B1408" s="1"/>
      <c r="C1408" s="1"/>
      <c r="D1408" s="1"/>
    </row>
    <row r="1409" spans="2:4" x14ac:dyDescent="0.2">
      <c r="D1409" s="1"/>
    </row>
    <row r="1410" spans="2:4" x14ac:dyDescent="0.2">
      <c r="D1410" s="1"/>
    </row>
    <row r="1411" spans="2:4" x14ac:dyDescent="0.2">
      <c r="C1411" s="1"/>
      <c r="D1411" s="1"/>
    </row>
    <row r="1412" spans="2:4" x14ac:dyDescent="0.2">
      <c r="D1412" s="1"/>
    </row>
    <row r="1413" spans="2:4" x14ac:dyDescent="0.2">
      <c r="B1413" s="1"/>
      <c r="C1413" s="1"/>
      <c r="D1413" s="1"/>
    </row>
    <row r="1414" spans="2:4" x14ac:dyDescent="0.2">
      <c r="D1414" s="1"/>
    </row>
    <row r="1415" spans="2:4" x14ac:dyDescent="0.2">
      <c r="D1415" s="1"/>
    </row>
    <row r="1416" spans="2:4" x14ac:dyDescent="0.2">
      <c r="C1416" s="1"/>
      <c r="D1416" s="1"/>
    </row>
    <row r="1417" spans="2:4" x14ac:dyDescent="0.2">
      <c r="D1417" s="1"/>
    </row>
    <row r="1418" spans="2:4" x14ac:dyDescent="0.2">
      <c r="D1418" s="1"/>
    </row>
    <row r="1419" spans="2:4" x14ac:dyDescent="0.2">
      <c r="B1419" s="1"/>
      <c r="C1419" s="1"/>
      <c r="D1419" s="1"/>
    </row>
    <row r="1420" spans="2:4" x14ac:dyDescent="0.2">
      <c r="D1420" s="1"/>
    </row>
    <row r="1421" spans="2:4" x14ac:dyDescent="0.2">
      <c r="D1421" s="1"/>
    </row>
    <row r="1422" spans="2:4" x14ac:dyDescent="0.2">
      <c r="C1422" s="1"/>
      <c r="D1422" s="1"/>
    </row>
    <row r="1423" spans="2:4" x14ac:dyDescent="0.2">
      <c r="D1423" s="1"/>
    </row>
    <row r="1424" spans="2:4" x14ac:dyDescent="0.2">
      <c r="B1424" s="1"/>
      <c r="C1424" s="1"/>
      <c r="D1424" s="1"/>
    </row>
    <row r="1425" spans="1:4" x14ac:dyDescent="0.2">
      <c r="C1425" s="1"/>
      <c r="D1425" s="1"/>
    </row>
    <row r="1426" spans="1:4" x14ac:dyDescent="0.2">
      <c r="B1426" s="1"/>
      <c r="C1426" s="1"/>
      <c r="D1426" s="1"/>
    </row>
    <row r="1427" spans="1:4" x14ac:dyDescent="0.2">
      <c r="C1427" s="1"/>
      <c r="D1427" s="1"/>
    </row>
    <row r="1428" spans="1:4" x14ac:dyDescent="0.2">
      <c r="D1428" s="1"/>
    </row>
    <row r="1429" spans="1:4" x14ac:dyDescent="0.2">
      <c r="D1429" s="1"/>
    </row>
    <row r="1430" spans="1:4" x14ac:dyDescent="0.2">
      <c r="B1430" s="1"/>
      <c r="C1430" s="1"/>
      <c r="D1430" s="1"/>
    </row>
    <row r="1431" spans="1:4" x14ac:dyDescent="0.2">
      <c r="D1431" s="1"/>
    </row>
    <row r="1432" spans="1:4" x14ac:dyDescent="0.2">
      <c r="D1432" s="1"/>
    </row>
    <row r="1433" spans="1:4" x14ac:dyDescent="0.2">
      <c r="C1433" s="1"/>
      <c r="D1433" s="1"/>
    </row>
    <row r="1434" spans="1:4" x14ac:dyDescent="0.2">
      <c r="D1434" s="1"/>
    </row>
    <row r="1435" spans="1:4" x14ac:dyDescent="0.2">
      <c r="D1435" s="1"/>
    </row>
    <row r="1436" spans="1:4" x14ac:dyDescent="0.2">
      <c r="D1436" s="1"/>
    </row>
    <row r="1437" spans="1:4" x14ac:dyDescent="0.2">
      <c r="A1437" s="1" t="s">
        <v>630</v>
      </c>
    </row>
    <row r="1438" spans="1:4" x14ac:dyDescent="0.2">
      <c r="C1438" s="1" t="s">
        <v>1</v>
      </c>
      <c r="D1438" s="1" t="s">
        <v>2</v>
      </c>
    </row>
    <row r="1439" spans="1:4" x14ac:dyDescent="0.2">
      <c r="B1439" s="1">
        <v>1</v>
      </c>
      <c r="C1439" s="1" t="s">
        <v>385</v>
      </c>
      <c r="D1439" s="1" t="s">
        <v>267</v>
      </c>
    </row>
    <row r="1440" spans="1:4" x14ac:dyDescent="0.2">
      <c r="D1440" s="1" t="s">
        <v>386</v>
      </c>
    </row>
    <row r="1441" spans="3:4" x14ac:dyDescent="0.2">
      <c r="D1441" s="1" t="s">
        <v>387</v>
      </c>
    </row>
    <row r="1442" spans="3:4" x14ac:dyDescent="0.2">
      <c r="C1442" s="1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G138"/>
  <sheetViews>
    <sheetView topLeftCell="A3" zoomScale="50" workbookViewId="0">
      <selection activeCell="X49" sqref="X49"/>
    </sheetView>
  </sheetViews>
  <sheetFormatPr baseColWidth="10" defaultColWidth="11" defaultRowHeight="16" x14ac:dyDescent="0.2"/>
  <cols>
    <col min="1" max="43" width="11" style="2" customWidth="1"/>
    <col min="44" max="44" width="32.5" style="2" customWidth="1"/>
    <col min="45" max="59" width="11" style="2" customWidth="1"/>
  </cols>
  <sheetData>
    <row r="2" spans="1:52" x14ac:dyDescent="0.2">
      <c r="AW2" s="2" t="s">
        <v>631</v>
      </c>
    </row>
    <row r="3" spans="1:52" x14ac:dyDescent="0.2">
      <c r="B3" s="2" t="s">
        <v>632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J3" s="2" t="s">
        <v>632</v>
      </c>
      <c r="K3" s="2" t="s">
        <v>4</v>
      </c>
      <c r="L3" s="2" t="s">
        <v>31</v>
      </c>
      <c r="M3" s="2" t="s">
        <v>633</v>
      </c>
      <c r="N3" s="2" t="s">
        <v>634</v>
      </c>
      <c r="O3" s="2" t="s">
        <v>635</v>
      </c>
      <c r="P3" s="2" t="s">
        <v>75</v>
      </c>
      <c r="Q3" s="2" t="s">
        <v>127</v>
      </c>
      <c r="R3" s="2" t="s">
        <v>636</v>
      </c>
      <c r="S3" s="2" t="s">
        <v>637</v>
      </c>
      <c r="T3" s="2" t="s">
        <v>638</v>
      </c>
      <c r="U3" s="2" t="s">
        <v>179</v>
      </c>
      <c r="V3" s="2" t="s">
        <v>308</v>
      </c>
      <c r="W3" s="2" t="s">
        <v>639</v>
      </c>
      <c r="X3" s="2" t="s">
        <v>640</v>
      </c>
      <c r="Y3" s="2" t="s">
        <v>641</v>
      </c>
      <c r="Z3" s="2" t="s">
        <v>328</v>
      </c>
      <c r="AA3" s="2" t="s">
        <v>465</v>
      </c>
      <c r="AB3" s="2" t="s">
        <v>642</v>
      </c>
      <c r="AC3" s="2" t="s">
        <v>643</v>
      </c>
      <c r="AD3" s="2" t="s">
        <v>644</v>
      </c>
      <c r="AF3" s="2" t="s">
        <v>632</v>
      </c>
      <c r="AK3" s="2" t="s">
        <v>645</v>
      </c>
      <c r="AO3" s="2" t="s">
        <v>646</v>
      </c>
      <c r="AP3" s="2" t="s">
        <v>647</v>
      </c>
      <c r="AQ3" s="2" t="s">
        <v>637</v>
      </c>
    </row>
    <row r="4" spans="1:52" x14ac:dyDescent="0.2">
      <c r="A4" s="2" t="s">
        <v>648</v>
      </c>
      <c r="B4" s="2" t="s">
        <v>4</v>
      </c>
      <c r="D4" s="2">
        <v>6</v>
      </c>
      <c r="E4" s="2">
        <v>8</v>
      </c>
      <c r="F4" s="2">
        <v>4</v>
      </c>
      <c r="G4" s="2">
        <v>2</v>
      </c>
      <c r="H4" s="2">
        <v>1</v>
      </c>
      <c r="I4" s="2">
        <v>21</v>
      </c>
      <c r="J4" s="2" t="s">
        <v>4</v>
      </c>
      <c r="K4" s="2" t="s">
        <v>4</v>
      </c>
      <c r="M4" s="2" t="s">
        <v>633</v>
      </c>
      <c r="O4" s="2" t="s">
        <v>635</v>
      </c>
      <c r="R4" s="2" t="s">
        <v>636</v>
      </c>
      <c r="T4" s="2" t="s">
        <v>638</v>
      </c>
      <c r="AF4" s="2" t="s">
        <v>4</v>
      </c>
      <c r="AG4" s="2" t="s">
        <v>649</v>
      </c>
      <c r="AK4" s="2" t="s">
        <v>650</v>
      </c>
      <c r="AO4" s="2" t="s">
        <v>651</v>
      </c>
      <c r="AP4" s="2" t="s">
        <v>652</v>
      </c>
      <c r="AQ4" s="2">
        <v>4</v>
      </c>
    </row>
    <row r="5" spans="1:52" x14ac:dyDescent="0.2">
      <c r="B5" s="2" t="s">
        <v>31</v>
      </c>
      <c r="D5" s="2">
        <v>2</v>
      </c>
      <c r="E5" s="2">
        <v>8</v>
      </c>
      <c r="F5" s="2">
        <v>4</v>
      </c>
      <c r="G5" s="2">
        <v>2</v>
      </c>
      <c r="H5" s="2">
        <v>1</v>
      </c>
      <c r="I5" s="2">
        <v>17</v>
      </c>
      <c r="J5" s="2" t="s">
        <v>31</v>
      </c>
      <c r="L5" s="2" t="s">
        <v>31</v>
      </c>
      <c r="N5" s="2" t="s">
        <v>634</v>
      </c>
      <c r="O5" s="2" t="s">
        <v>635</v>
      </c>
      <c r="S5" s="2" t="s">
        <v>637</v>
      </c>
      <c r="T5" s="2" t="s">
        <v>638</v>
      </c>
      <c r="AF5" s="2" t="s">
        <v>31</v>
      </c>
      <c r="AG5" s="2" t="s">
        <v>649</v>
      </c>
      <c r="AK5" s="2" t="s">
        <v>653</v>
      </c>
      <c r="AO5" s="2" t="s">
        <v>654</v>
      </c>
      <c r="AP5" s="2" t="s">
        <v>647</v>
      </c>
      <c r="AQ5" s="2" t="s">
        <v>655</v>
      </c>
      <c r="AR5" s="2" t="s">
        <v>656</v>
      </c>
      <c r="AS5" s="2" t="s">
        <v>657</v>
      </c>
      <c r="AT5" s="2" t="s">
        <v>658</v>
      </c>
      <c r="AU5" s="2" t="s">
        <v>659</v>
      </c>
    </row>
    <row r="6" spans="1:52" x14ac:dyDescent="0.2">
      <c r="B6" s="2" t="s">
        <v>633</v>
      </c>
      <c r="D6" s="2">
        <v>1</v>
      </c>
      <c r="E6" s="2">
        <v>8</v>
      </c>
      <c r="F6" s="2">
        <v>4</v>
      </c>
      <c r="G6" s="2">
        <v>2</v>
      </c>
      <c r="H6" s="2">
        <v>1</v>
      </c>
      <c r="I6" s="2">
        <v>16</v>
      </c>
      <c r="J6" s="2" t="s">
        <v>633</v>
      </c>
      <c r="K6" s="2" t="s">
        <v>4</v>
      </c>
      <c r="M6" s="2" t="s">
        <v>633</v>
      </c>
      <c r="O6" s="2" t="s">
        <v>635</v>
      </c>
      <c r="P6" s="2" t="s">
        <v>75</v>
      </c>
      <c r="T6" s="2" t="s">
        <v>638</v>
      </c>
      <c r="AF6" s="2" t="s">
        <v>633</v>
      </c>
      <c r="AK6" s="2" t="s">
        <v>660</v>
      </c>
      <c r="AO6" s="2" t="s">
        <v>661</v>
      </c>
      <c r="AP6" s="2" t="s">
        <v>647</v>
      </c>
      <c r="AQ6" s="3">
        <v>0.375</v>
      </c>
      <c r="AW6" s="2" t="s">
        <v>662</v>
      </c>
      <c r="AX6" s="2" t="s">
        <v>663</v>
      </c>
      <c r="AZ6" s="2" t="s">
        <v>664</v>
      </c>
    </row>
    <row r="7" spans="1:52" x14ac:dyDescent="0.2">
      <c r="B7" s="2" t="s">
        <v>634</v>
      </c>
      <c r="E7" s="2">
        <v>3</v>
      </c>
      <c r="F7" s="2">
        <v>4</v>
      </c>
      <c r="G7" s="2">
        <v>2</v>
      </c>
      <c r="H7" s="2">
        <v>1</v>
      </c>
      <c r="I7" s="2">
        <v>10</v>
      </c>
      <c r="J7" s="2" t="s">
        <v>634</v>
      </c>
      <c r="L7" s="2" t="s">
        <v>31</v>
      </c>
      <c r="O7" s="2" t="s">
        <v>635</v>
      </c>
      <c r="T7" s="2" t="s">
        <v>638</v>
      </c>
      <c r="AF7" s="2" t="s">
        <v>634</v>
      </c>
      <c r="AK7" s="2" t="s">
        <v>665</v>
      </c>
      <c r="AO7" s="2" t="s">
        <v>666</v>
      </c>
      <c r="AP7" s="2" t="s">
        <v>667</v>
      </c>
    </row>
    <row r="8" spans="1:52" x14ac:dyDescent="0.2">
      <c r="B8" s="2" t="s">
        <v>635</v>
      </c>
      <c r="D8" s="2">
        <v>2</v>
      </c>
      <c r="E8" s="2">
        <v>8</v>
      </c>
      <c r="F8" s="2">
        <v>4</v>
      </c>
      <c r="G8" s="2">
        <v>2</v>
      </c>
      <c r="H8" s="2">
        <v>1</v>
      </c>
      <c r="I8" s="2">
        <v>17</v>
      </c>
      <c r="J8" s="2" t="s">
        <v>635</v>
      </c>
      <c r="K8" s="2" t="s">
        <v>4</v>
      </c>
      <c r="L8" s="2" t="s">
        <v>31</v>
      </c>
      <c r="M8" s="2" t="s">
        <v>633</v>
      </c>
      <c r="N8" s="2" t="s">
        <v>634</v>
      </c>
      <c r="O8" s="2" t="s">
        <v>635</v>
      </c>
      <c r="P8" s="2" t="s">
        <v>75</v>
      </c>
      <c r="Q8" s="2" t="s">
        <v>127</v>
      </c>
      <c r="R8" s="2" t="s">
        <v>636</v>
      </c>
      <c r="S8" s="2" t="s">
        <v>637</v>
      </c>
      <c r="AF8" s="2" t="s">
        <v>635</v>
      </c>
      <c r="AG8" s="2" t="s">
        <v>649</v>
      </c>
      <c r="AO8" s="2" t="s">
        <v>668</v>
      </c>
      <c r="AP8" s="2" t="s">
        <v>669</v>
      </c>
    </row>
    <row r="9" spans="1:52" x14ac:dyDescent="0.2">
      <c r="B9" s="2" t="s">
        <v>75</v>
      </c>
      <c r="C9" s="2">
        <v>15</v>
      </c>
      <c r="D9" s="2">
        <v>16</v>
      </c>
      <c r="E9" s="2">
        <v>8</v>
      </c>
      <c r="F9" s="2">
        <v>4</v>
      </c>
      <c r="G9" s="2">
        <v>2</v>
      </c>
      <c r="H9" s="2">
        <v>1</v>
      </c>
      <c r="I9" s="2">
        <v>46</v>
      </c>
      <c r="J9" s="2" t="s">
        <v>75</v>
      </c>
      <c r="M9" s="2" t="s">
        <v>633</v>
      </c>
      <c r="O9" s="2" t="s">
        <v>635</v>
      </c>
      <c r="P9" s="2" t="s">
        <v>75</v>
      </c>
      <c r="R9" s="2" t="s">
        <v>636</v>
      </c>
      <c r="T9" s="2" t="s">
        <v>638</v>
      </c>
      <c r="U9" s="2" t="s">
        <v>179</v>
      </c>
      <c r="W9" s="2" t="s">
        <v>639</v>
      </c>
      <c r="Y9" s="2" t="s">
        <v>641</v>
      </c>
      <c r="AF9" s="2" t="s">
        <v>75</v>
      </c>
      <c r="AG9" s="2" t="s">
        <v>649</v>
      </c>
      <c r="AK9" s="2" t="s">
        <v>670</v>
      </c>
    </row>
    <row r="10" spans="1:52" x14ac:dyDescent="0.2">
      <c r="B10" s="2" t="s">
        <v>127</v>
      </c>
      <c r="E10" s="2">
        <v>7</v>
      </c>
      <c r="F10" s="2">
        <v>4</v>
      </c>
      <c r="G10" s="2">
        <v>2</v>
      </c>
      <c r="H10" s="2">
        <v>1</v>
      </c>
      <c r="I10" s="2">
        <v>14</v>
      </c>
      <c r="J10" s="2" t="s">
        <v>127</v>
      </c>
      <c r="O10" s="2" t="s">
        <v>635</v>
      </c>
      <c r="Q10" s="2" t="s">
        <v>127</v>
      </c>
      <c r="S10" s="2" t="s">
        <v>637</v>
      </c>
      <c r="T10" s="2" t="s">
        <v>638</v>
      </c>
      <c r="Y10" s="2" t="s">
        <v>641</v>
      </c>
      <c r="AF10" s="2" t="s">
        <v>127</v>
      </c>
      <c r="AG10" s="2" t="s">
        <v>649</v>
      </c>
      <c r="AO10" s="2" t="s">
        <v>671</v>
      </c>
      <c r="AP10" s="2" t="s">
        <v>672</v>
      </c>
    </row>
    <row r="11" spans="1:52" x14ac:dyDescent="0.2">
      <c r="A11" s="2" t="s">
        <v>673</v>
      </c>
      <c r="B11" s="2" t="s">
        <v>636</v>
      </c>
      <c r="D11" s="2">
        <v>14</v>
      </c>
      <c r="E11" s="2">
        <v>8</v>
      </c>
      <c r="F11" s="2">
        <v>4</v>
      </c>
      <c r="G11" s="2">
        <v>2</v>
      </c>
      <c r="H11" s="2">
        <v>1</v>
      </c>
      <c r="I11" s="2">
        <v>29</v>
      </c>
      <c r="J11" s="2" t="s">
        <v>636</v>
      </c>
      <c r="K11" s="2" t="s">
        <v>4</v>
      </c>
      <c r="O11" s="2" t="s">
        <v>635</v>
      </c>
      <c r="P11" s="2" t="s">
        <v>75</v>
      </c>
      <c r="T11" s="2" t="s">
        <v>638</v>
      </c>
      <c r="U11" s="2" t="s">
        <v>179</v>
      </c>
      <c r="W11" s="2" t="s">
        <v>639</v>
      </c>
      <c r="Y11" s="2" t="s">
        <v>641</v>
      </c>
      <c r="AF11" s="2" t="s">
        <v>636</v>
      </c>
      <c r="AQ11" s="2" t="s">
        <v>75</v>
      </c>
      <c r="AR11" s="2" t="s">
        <v>674</v>
      </c>
      <c r="AU11" s="2" t="s">
        <v>636</v>
      </c>
      <c r="AW11" s="2" t="s">
        <v>638</v>
      </c>
    </row>
    <row r="12" spans="1:52" x14ac:dyDescent="0.2">
      <c r="B12" s="2" t="s">
        <v>637</v>
      </c>
      <c r="E12" s="2">
        <v>6</v>
      </c>
      <c r="F12" s="2">
        <v>4</v>
      </c>
      <c r="G12" s="2">
        <v>2</v>
      </c>
      <c r="H12" s="2">
        <v>1</v>
      </c>
      <c r="I12" s="2">
        <v>13</v>
      </c>
      <c r="J12" s="2" t="s">
        <v>637</v>
      </c>
      <c r="L12" s="2" t="s">
        <v>31</v>
      </c>
      <c r="O12" s="2" t="s">
        <v>635</v>
      </c>
      <c r="Q12" s="2" t="s">
        <v>127</v>
      </c>
      <c r="T12" s="2" t="s">
        <v>638</v>
      </c>
      <c r="V12" s="2" t="s">
        <v>308</v>
      </c>
      <c r="Y12" s="2" t="s">
        <v>641</v>
      </c>
      <c r="AF12" s="2" t="s">
        <v>637</v>
      </c>
      <c r="AQ12" s="2" t="s">
        <v>127</v>
      </c>
      <c r="AR12" s="2" t="s">
        <v>674</v>
      </c>
      <c r="AV12" s="2" t="s">
        <v>637</v>
      </c>
      <c r="AW12" s="2" t="s">
        <v>638</v>
      </c>
    </row>
    <row r="13" spans="1:52" x14ac:dyDescent="0.2">
      <c r="B13" s="2" t="s">
        <v>638</v>
      </c>
      <c r="D13" s="2">
        <v>3</v>
      </c>
      <c r="E13" s="2">
        <v>8</v>
      </c>
      <c r="F13" s="2">
        <v>4</v>
      </c>
      <c r="G13" s="2">
        <v>2</v>
      </c>
      <c r="H13" s="2">
        <v>1</v>
      </c>
      <c r="I13" s="2">
        <v>18</v>
      </c>
      <c r="J13" s="2" t="s">
        <v>638</v>
      </c>
      <c r="K13" s="2" t="s">
        <v>4</v>
      </c>
      <c r="L13" s="2" t="s">
        <v>31</v>
      </c>
      <c r="M13" s="2" t="s">
        <v>633</v>
      </c>
      <c r="N13" s="2" t="s">
        <v>634</v>
      </c>
      <c r="P13" s="2" t="s">
        <v>75</v>
      </c>
      <c r="Q13" s="2" t="s">
        <v>127</v>
      </c>
      <c r="R13" s="2" t="s">
        <v>636</v>
      </c>
      <c r="S13" s="2" t="s">
        <v>637</v>
      </c>
      <c r="T13" s="2" t="s">
        <v>638</v>
      </c>
      <c r="U13" s="2" t="s">
        <v>179</v>
      </c>
      <c r="V13" s="2" t="s">
        <v>308</v>
      </c>
      <c r="W13" s="2" t="s">
        <v>639</v>
      </c>
      <c r="X13" s="2" t="s">
        <v>640</v>
      </c>
      <c r="Y13" s="2" t="s">
        <v>641</v>
      </c>
      <c r="Z13" s="2" t="s">
        <v>328</v>
      </c>
      <c r="AF13" s="2" t="s">
        <v>638</v>
      </c>
      <c r="AG13" s="2" t="s">
        <v>649</v>
      </c>
      <c r="AQ13" s="2" t="s">
        <v>636</v>
      </c>
      <c r="AR13" s="2" t="s">
        <v>674</v>
      </c>
      <c r="AS13" s="2" t="s">
        <v>75</v>
      </c>
      <c r="AW13" s="2" t="s">
        <v>638</v>
      </c>
    </row>
    <row r="14" spans="1:52" x14ac:dyDescent="0.2">
      <c r="B14" s="2" t="s">
        <v>179</v>
      </c>
      <c r="C14" s="2">
        <v>7</v>
      </c>
      <c r="D14" s="2">
        <v>16</v>
      </c>
      <c r="E14" s="2">
        <v>8</v>
      </c>
      <c r="F14" s="2">
        <v>4</v>
      </c>
      <c r="G14" s="2">
        <v>2</v>
      </c>
      <c r="H14" s="2">
        <v>1</v>
      </c>
      <c r="I14" s="2">
        <v>38</v>
      </c>
      <c r="J14" s="2" t="s">
        <v>179</v>
      </c>
      <c r="P14" s="2" t="s">
        <v>75</v>
      </c>
      <c r="R14" s="2" t="s">
        <v>636</v>
      </c>
      <c r="T14" s="2" t="s">
        <v>638</v>
      </c>
      <c r="U14" s="2" t="s">
        <v>179</v>
      </c>
      <c r="W14" s="2" t="s">
        <v>639</v>
      </c>
      <c r="Y14" s="2" t="s">
        <v>641</v>
      </c>
      <c r="Z14" s="2" t="s">
        <v>328</v>
      </c>
      <c r="AB14" s="2" t="s">
        <v>642</v>
      </c>
      <c r="AF14" s="2" t="s">
        <v>179</v>
      </c>
      <c r="AG14" s="2" t="s">
        <v>649</v>
      </c>
      <c r="AQ14" s="2" t="s">
        <v>637</v>
      </c>
      <c r="AR14" s="2" t="s">
        <v>674</v>
      </c>
      <c r="AT14" s="2" t="s">
        <v>127</v>
      </c>
      <c r="AW14" s="2" t="s">
        <v>638</v>
      </c>
    </row>
    <row r="15" spans="1:52" x14ac:dyDescent="0.2">
      <c r="B15" s="2" t="s">
        <v>308</v>
      </c>
      <c r="E15" s="2">
        <v>7</v>
      </c>
      <c r="F15" s="2">
        <v>4</v>
      </c>
      <c r="G15" s="2">
        <v>2</v>
      </c>
      <c r="H15" s="2">
        <v>1</v>
      </c>
      <c r="I15" s="2">
        <v>14</v>
      </c>
      <c r="J15" s="2" t="s">
        <v>308</v>
      </c>
      <c r="S15" s="2" t="s">
        <v>637</v>
      </c>
      <c r="T15" s="2" t="s">
        <v>638</v>
      </c>
      <c r="V15" s="2" t="s">
        <v>308</v>
      </c>
      <c r="X15" s="2" t="s">
        <v>640</v>
      </c>
      <c r="Y15" s="2" t="s">
        <v>641</v>
      </c>
      <c r="AC15" s="2" t="s">
        <v>643</v>
      </c>
      <c r="AD15" s="2" t="s">
        <v>644</v>
      </c>
      <c r="AF15" s="2" t="s">
        <v>308</v>
      </c>
      <c r="AG15" s="2" t="s">
        <v>649</v>
      </c>
      <c r="AQ15" s="2" t="s">
        <v>638</v>
      </c>
      <c r="AR15" s="2" t="s">
        <v>674</v>
      </c>
      <c r="AS15" s="2" t="s">
        <v>75</v>
      </c>
      <c r="AT15" s="2" t="s">
        <v>127</v>
      </c>
      <c r="AU15" s="2" t="s">
        <v>636</v>
      </c>
      <c r="AV15" s="2" t="s">
        <v>637</v>
      </c>
    </row>
    <row r="16" spans="1:52" x14ac:dyDescent="0.2">
      <c r="B16" s="2" t="s">
        <v>639</v>
      </c>
      <c r="D16" s="2">
        <v>11</v>
      </c>
      <c r="E16" s="2">
        <v>8</v>
      </c>
      <c r="F16" s="2">
        <v>4</v>
      </c>
      <c r="G16" s="2">
        <v>2</v>
      </c>
      <c r="H16" s="2">
        <v>1</v>
      </c>
      <c r="I16" s="2">
        <v>26</v>
      </c>
      <c r="J16" s="2" t="s">
        <v>639</v>
      </c>
      <c r="P16" s="2" t="s">
        <v>75</v>
      </c>
      <c r="R16" s="2" t="s">
        <v>636</v>
      </c>
      <c r="T16" s="2" t="s">
        <v>638</v>
      </c>
      <c r="U16" s="2" t="s">
        <v>179</v>
      </c>
      <c r="W16" s="2" t="s">
        <v>639</v>
      </c>
      <c r="Y16" s="2" t="s">
        <v>641</v>
      </c>
      <c r="Z16" s="2" t="s">
        <v>328</v>
      </c>
      <c r="AB16" s="2" t="s">
        <v>642</v>
      </c>
      <c r="AD16" s="2" t="s">
        <v>644</v>
      </c>
      <c r="AF16" s="2" t="s">
        <v>639</v>
      </c>
      <c r="AG16" s="2" t="s">
        <v>649</v>
      </c>
    </row>
    <row r="17" spans="1:54" x14ac:dyDescent="0.2">
      <c r="B17" s="2" t="s">
        <v>640</v>
      </c>
      <c r="E17" s="2">
        <v>1</v>
      </c>
      <c r="F17" s="2">
        <v>4</v>
      </c>
      <c r="G17" s="2">
        <v>2</v>
      </c>
      <c r="H17" s="2">
        <v>1</v>
      </c>
      <c r="I17" s="2">
        <v>8</v>
      </c>
      <c r="J17" s="2" t="s">
        <v>640</v>
      </c>
      <c r="V17" s="2" t="s">
        <v>308</v>
      </c>
      <c r="Y17" s="2" t="s">
        <v>641</v>
      </c>
      <c r="AD17" s="2" t="s">
        <v>644</v>
      </c>
      <c r="AF17" s="2" t="s">
        <v>640</v>
      </c>
      <c r="AI17" s="2" t="s">
        <v>675</v>
      </c>
      <c r="AJ17" s="2" t="s">
        <v>676</v>
      </c>
      <c r="AO17" s="2" t="s">
        <v>677</v>
      </c>
      <c r="AP17" s="2" t="s">
        <v>672</v>
      </c>
    </row>
    <row r="18" spans="1:54" x14ac:dyDescent="0.2">
      <c r="B18" s="2" t="s">
        <v>641</v>
      </c>
      <c r="D18" s="2">
        <v>4</v>
      </c>
      <c r="E18" s="2">
        <v>8</v>
      </c>
      <c r="F18" s="2">
        <v>4</v>
      </c>
      <c r="G18" s="2">
        <v>2</v>
      </c>
      <c r="H18" s="2">
        <v>1</v>
      </c>
      <c r="I18" s="2">
        <v>19</v>
      </c>
      <c r="J18" s="2" t="s">
        <v>641</v>
      </c>
      <c r="P18" s="2" t="s">
        <v>75</v>
      </c>
      <c r="Q18" s="2" t="s">
        <v>127</v>
      </c>
      <c r="R18" s="2" t="s">
        <v>636</v>
      </c>
      <c r="S18" s="2" t="s">
        <v>637</v>
      </c>
      <c r="T18" s="2" t="s">
        <v>638</v>
      </c>
      <c r="U18" s="2" t="s">
        <v>179</v>
      </c>
      <c r="V18" s="2" t="s">
        <v>308</v>
      </c>
      <c r="W18" s="2" t="s">
        <v>639</v>
      </c>
      <c r="X18" s="2" t="s">
        <v>640</v>
      </c>
      <c r="Y18" s="2" t="s">
        <v>641</v>
      </c>
      <c r="Z18" s="2" t="s">
        <v>328</v>
      </c>
      <c r="AA18" s="2" t="s">
        <v>465</v>
      </c>
      <c r="AB18" s="2" t="s">
        <v>642</v>
      </c>
      <c r="AC18" s="2" t="s">
        <v>643</v>
      </c>
      <c r="AF18" s="2" t="s">
        <v>641</v>
      </c>
      <c r="AG18" s="2" t="s">
        <v>649</v>
      </c>
      <c r="AJ18" s="2" t="s">
        <v>678</v>
      </c>
      <c r="AQ18" s="2" t="s">
        <v>75</v>
      </c>
      <c r="AR18" s="2" t="s">
        <v>674</v>
      </c>
      <c r="AU18" s="2" t="s">
        <v>633</v>
      </c>
      <c r="AW18" s="2" t="s">
        <v>635</v>
      </c>
      <c r="AX18" s="2" t="s">
        <v>179</v>
      </c>
      <c r="AZ18" s="2" t="s">
        <v>639</v>
      </c>
      <c r="BB18" s="2" t="s">
        <v>641</v>
      </c>
    </row>
    <row r="19" spans="1:54" x14ac:dyDescent="0.2">
      <c r="B19" s="2" t="s">
        <v>328</v>
      </c>
      <c r="C19" s="2">
        <v>15</v>
      </c>
      <c r="D19" s="2">
        <v>16</v>
      </c>
      <c r="E19" s="2">
        <v>8</v>
      </c>
      <c r="F19" s="2">
        <v>4</v>
      </c>
      <c r="G19" s="2">
        <v>2</v>
      </c>
      <c r="H19" s="2">
        <v>1</v>
      </c>
      <c r="I19" s="2">
        <v>46</v>
      </c>
      <c r="J19" s="2" t="s">
        <v>328</v>
      </c>
      <c r="T19" s="2" t="s">
        <v>638</v>
      </c>
      <c r="U19" s="2" t="s">
        <v>179</v>
      </c>
      <c r="W19" s="2" t="s">
        <v>639</v>
      </c>
      <c r="Z19" s="2" t="s">
        <v>328</v>
      </c>
      <c r="AB19" s="2" t="s">
        <v>642</v>
      </c>
      <c r="AD19" s="2" t="s">
        <v>644</v>
      </c>
      <c r="AF19" s="2" t="s">
        <v>328</v>
      </c>
      <c r="AG19" s="2" t="s">
        <v>649</v>
      </c>
      <c r="AQ19" s="2" t="s">
        <v>127</v>
      </c>
      <c r="AR19" s="2" t="s">
        <v>674</v>
      </c>
      <c r="AW19" s="2" t="s">
        <v>635</v>
      </c>
      <c r="BB19" s="2" t="s">
        <v>641</v>
      </c>
    </row>
    <row r="20" spans="1:54" x14ac:dyDescent="0.2">
      <c r="B20" s="2" t="s">
        <v>465</v>
      </c>
      <c r="E20" s="2">
        <v>2</v>
      </c>
      <c r="F20" s="2">
        <v>4</v>
      </c>
      <c r="G20" s="2">
        <v>2</v>
      </c>
      <c r="H20" s="2">
        <v>1</v>
      </c>
      <c r="I20" s="2">
        <v>9</v>
      </c>
      <c r="J20" s="2" t="s">
        <v>465</v>
      </c>
      <c r="Y20" s="2" t="s">
        <v>641</v>
      </c>
      <c r="AA20" s="2" t="s">
        <v>465</v>
      </c>
      <c r="AC20" s="2" t="s">
        <v>643</v>
      </c>
      <c r="AD20" s="2" t="s">
        <v>644</v>
      </c>
      <c r="AF20" s="2" t="s">
        <v>465</v>
      </c>
      <c r="AG20" s="2" t="s">
        <v>649</v>
      </c>
      <c r="AI20" s="2" t="s">
        <v>679</v>
      </c>
      <c r="AJ20" s="2" t="s">
        <v>680</v>
      </c>
      <c r="AQ20" s="2" t="s">
        <v>636</v>
      </c>
      <c r="AR20" s="2" t="s">
        <v>674</v>
      </c>
      <c r="AS20" s="2" t="s">
        <v>4</v>
      </c>
      <c r="AW20" s="2" t="s">
        <v>635</v>
      </c>
      <c r="AX20" s="2" t="s">
        <v>179</v>
      </c>
      <c r="AZ20" s="2" t="s">
        <v>639</v>
      </c>
      <c r="BB20" s="2" t="s">
        <v>641</v>
      </c>
    </row>
    <row r="21" spans="1:54" x14ac:dyDescent="0.2">
      <c r="B21" s="2" t="s">
        <v>642</v>
      </c>
      <c r="D21" s="2">
        <v>5</v>
      </c>
      <c r="E21" s="2">
        <v>8</v>
      </c>
      <c r="F21" s="2">
        <v>4</v>
      </c>
      <c r="G21" s="2">
        <v>2</v>
      </c>
      <c r="H21" s="2">
        <v>1</v>
      </c>
      <c r="I21" s="2">
        <v>20</v>
      </c>
      <c r="J21" s="2" t="s">
        <v>642</v>
      </c>
      <c r="U21" s="2" t="s">
        <v>179</v>
      </c>
      <c r="W21" s="2" t="s">
        <v>639</v>
      </c>
      <c r="Y21" s="2" t="s">
        <v>641</v>
      </c>
      <c r="Z21" s="2" t="s">
        <v>328</v>
      </c>
      <c r="AD21" s="2" t="s">
        <v>644</v>
      </c>
      <c r="AF21" s="2" t="s">
        <v>642</v>
      </c>
      <c r="AQ21" s="2" t="s">
        <v>637</v>
      </c>
      <c r="AR21" s="2" t="s">
        <v>674</v>
      </c>
      <c r="AT21" s="2" t="s">
        <v>31</v>
      </c>
      <c r="AW21" s="2" t="s">
        <v>635</v>
      </c>
      <c r="AY21" s="2" t="s">
        <v>308</v>
      </c>
      <c r="BB21" s="2" t="s">
        <v>641</v>
      </c>
    </row>
    <row r="22" spans="1:54" x14ac:dyDescent="0.2">
      <c r="B22" s="2" t="s">
        <v>643</v>
      </c>
      <c r="F22" s="2">
        <v>3</v>
      </c>
      <c r="G22" s="2">
        <v>2</v>
      </c>
      <c r="H22" s="2">
        <v>1</v>
      </c>
      <c r="I22" s="2">
        <v>6</v>
      </c>
      <c r="J22" s="2" t="s">
        <v>643</v>
      </c>
      <c r="V22" s="2" t="s">
        <v>308</v>
      </c>
      <c r="Y22" s="2" t="s">
        <v>641</v>
      </c>
      <c r="AA22" s="2" t="s">
        <v>465</v>
      </c>
      <c r="AD22" s="2" t="s">
        <v>644</v>
      </c>
      <c r="AF22" s="2" t="s">
        <v>643</v>
      </c>
      <c r="AI22" s="2" t="s">
        <v>675</v>
      </c>
      <c r="AJ22" s="2" t="s">
        <v>681</v>
      </c>
      <c r="AQ22" s="2" t="s">
        <v>638</v>
      </c>
      <c r="AR22" s="2" t="s">
        <v>674</v>
      </c>
      <c r="AS22" s="2" t="s">
        <v>4</v>
      </c>
      <c r="AT22" s="2" t="s">
        <v>31</v>
      </c>
      <c r="AU22" s="2" t="s">
        <v>633</v>
      </c>
      <c r="AV22" s="2" t="s">
        <v>634</v>
      </c>
      <c r="AX22" s="2" t="s">
        <v>179</v>
      </c>
      <c r="AY22" s="2" t="s">
        <v>308</v>
      </c>
      <c r="AZ22" s="2" t="s">
        <v>639</v>
      </c>
      <c r="BA22" s="2" t="s">
        <v>640</v>
      </c>
      <c r="BB22" s="2" t="s">
        <v>641</v>
      </c>
    </row>
    <row r="23" spans="1:54" x14ac:dyDescent="0.2">
      <c r="B23" s="2" t="s">
        <v>644</v>
      </c>
      <c r="E23" s="2">
        <v>8</v>
      </c>
      <c r="F23" s="2">
        <v>4</v>
      </c>
      <c r="G23" s="2">
        <v>2</v>
      </c>
      <c r="H23" s="2">
        <v>1</v>
      </c>
      <c r="I23" s="2">
        <v>15</v>
      </c>
      <c r="J23" s="2" t="s">
        <v>644</v>
      </c>
      <c r="V23" s="2" t="s">
        <v>308</v>
      </c>
      <c r="W23" s="2" t="s">
        <v>639</v>
      </c>
      <c r="X23" s="2" t="s">
        <v>640</v>
      </c>
      <c r="Z23" s="2" t="s">
        <v>328</v>
      </c>
      <c r="AA23" s="2" t="s">
        <v>465</v>
      </c>
      <c r="AB23" s="2" t="s">
        <v>642</v>
      </c>
      <c r="AC23" s="2" t="s">
        <v>643</v>
      </c>
      <c r="AD23" s="2" t="s">
        <v>644</v>
      </c>
      <c r="AF23" s="2" t="s">
        <v>644</v>
      </c>
      <c r="AG23" s="2" t="s">
        <v>649</v>
      </c>
    </row>
    <row r="24" spans="1:54" x14ac:dyDescent="0.2">
      <c r="I24" s="2">
        <v>402</v>
      </c>
      <c r="AO24" s="2" t="s">
        <v>682</v>
      </c>
    </row>
    <row r="25" spans="1:54" x14ac:dyDescent="0.2">
      <c r="AO25" s="13" t="s">
        <v>683</v>
      </c>
    </row>
    <row r="26" spans="1:54" x14ac:dyDescent="0.2">
      <c r="H26" s="2">
        <v>78</v>
      </c>
      <c r="I26" s="2">
        <v>81</v>
      </c>
      <c r="J26" s="2">
        <v>480</v>
      </c>
      <c r="K26" s="2">
        <v>600</v>
      </c>
      <c r="M26" s="2" t="s">
        <v>641</v>
      </c>
      <c r="AO26" s="13" t="s">
        <v>684</v>
      </c>
    </row>
    <row r="27" spans="1:54" x14ac:dyDescent="0.2">
      <c r="H27" s="2">
        <v>390</v>
      </c>
      <c r="I27" s="2">
        <v>405</v>
      </c>
      <c r="L27" s="2" t="s">
        <v>649</v>
      </c>
      <c r="M27" s="2" t="s">
        <v>649</v>
      </c>
      <c r="AO27" s="2" t="s">
        <v>685</v>
      </c>
    </row>
    <row r="28" spans="1:54" x14ac:dyDescent="0.2">
      <c r="AO28" s="13" t="s">
        <v>686</v>
      </c>
    </row>
    <row r="29" spans="1:54" x14ac:dyDescent="0.2">
      <c r="B29" s="3">
        <v>0.375</v>
      </c>
      <c r="C29" s="3">
        <v>0.39583333333333331</v>
      </c>
      <c r="D29" s="3">
        <v>0.41666666666666669</v>
      </c>
      <c r="E29" s="3">
        <v>0.42708333333333331</v>
      </c>
      <c r="F29" s="3">
        <v>0.4375</v>
      </c>
      <c r="G29" s="3">
        <v>0.45833333333333331</v>
      </c>
      <c r="H29" s="3">
        <v>0.47916666666666669</v>
      </c>
      <c r="I29" s="3">
        <v>0.5</v>
      </c>
      <c r="J29" s="3">
        <v>0.51041666666666663</v>
      </c>
      <c r="K29" s="3">
        <v>0.52083333333333337</v>
      </c>
      <c r="L29" s="3">
        <v>0.54166666666666663</v>
      </c>
      <c r="M29" s="3">
        <v>0.5625</v>
      </c>
      <c r="N29" s="3">
        <v>0.57291666666666663</v>
      </c>
      <c r="O29" s="3">
        <v>0.58333333333333337</v>
      </c>
      <c r="P29" s="3">
        <v>0.59375</v>
      </c>
      <c r="Q29" s="3">
        <v>0.60416666666666663</v>
      </c>
      <c r="R29" s="3">
        <v>0.625</v>
      </c>
      <c r="S29" s="3">
        <v>0.64583333333333337</v>
      </c>
      <c r="T29" s="3">
        <v>0.66666666666666663</v>
      </c>
      <c r="U29" s="3">
        <v>0.6875</v>
      </c>
      <c r="V29" s="3">
        <v>0.69791666666666663</v>
      </c>
      <c r="W29" s="3">
        <v>0.70833333333333337</v>
      </c>
      <c r="X29" s="3">
        <v>0.72916666666666663</v>
      </c>
      <c r="Y29" s="3">
        <v>0.75</v>
      </c>
      <c r="Z29" s="3">
        <v>0.77083333333333337</v>
      </c>
      <c r="AA29" s="3">
        <v>0.79166666666666663</v>
      </c>
      <c r="AB29" s="3">
        <v>0.80208333333333337</v>
      </c>
      <c r="AC29" s="3">
        <v>0.8125</v>
      </c>
      <c r="AD29" s="3">
        <v>0.83333333333333337</v>
      </c>
      <c r="AE29" s="3">
        <v>0.85416666666666663</v>
      </c>
      <c r="AF29" s="3">
        <v>0.86458333333333337</v>
      </c>
      <c r="AG29" s="3">
        <v>0.875</v>
      </c>
      <c r="AH29" s="3">
        <v>0.89583333333333337</v>
      </c>
      <c r="AO29" s="14" t="s">
        <v>687</v>
      </c>
    </row>
    <row r="30" spans="1:54" x14ac:dyDescent="0.2">
      <c r="A30" s="2">
        <v>1</v>
      </c>
      <c r="B30" s="2" t="s">
        <v>75</v>
      </c>
      <c r="C30" s="2" t="s">
        <v>75</v>
      </c>
      <c r="D30" s="2" t="s">
        <v>328</v>
      </c>
      <c r="E30" s="2" t="s">
        <v>4</v>
      </c>
      <c r="F30" s="2" t="s">
        <v>31</v>
      </c>
      <c r="G30" s="2" t="s">
        <v>179</v>
      </c>
      <c r="H30" s="2" t="s">
        <v>4</v>
      </c>
      <c r="I30" s="2" t="s">
        <v>75</v>
      </c>
      <c r="J30" s="2" t="s">
        <v>4</v>
      </c>
      <c r="K30" s="2" t="s">
        <v>75</v>
      </c>
      <c r="L30" s="2" t="s">
        <v>328</v>
      </c>
      <c r="M30" s="2" t="s">
        <v>31</v>
      </c>
      <c r="N30" s="2" t="s">
        <v>638</v>
      </c>
      <c r="O30" s="2" t="s">
        <v>642</v>
      </c>
      <c r="P30" s="2" t="s">
        <v>31</v>
      </c>
      <c r="Q30" s="2" t="s">
        <v>179</v>
      </c>
      <c r="R30" s="2" t="s">
        <v>179</v>
      </c>
      <c r="S30" s="2" t="s">
        <v>644</v>
      </c>
      <c r="T30" s="2" t="s">
        <v>75</v>
      </c>
      <c r="U30" s="2" t="s">
        <v>328</v>
      </c>
      <c r="V30" s="2" t="s">
        <v>635</v>
      </c>
      <c r="W30" s="2" t="s">
        <v>179</v>
      </c>
      <c r="X30" s="2" t="s">
        <v>634</v>
      </c>
      <c r="Y30" s="2" t="s">
        <v>639</v>
      </c>
      <c r="Z30" s="2" t="s">
        <v>635</v>
      </c>
      <c r="AA30" s="2" t="s">
        <v>638</v>
      </c>
      <c r="AB30" s="2" t="s">
        <v>635</v>
      </c>
      <c r="AC30" s="2" t="s">
        <v>179</v>
      </c>
      <c r="AD30" s="2" t="s">
        <v>636</v>
      </c>
      <c r="AE30" s="2" t="s">
        <v>636</v>
      </c>
      <c r="AF30" s="2" t="s">
        <v>633</v>
      </c>
      <c r="AG30" s="2" t="s">
        <v>639</v>
      </c>
      <c r="AO30" s="14" t="s">
        <v>688</v>
      </c>
    </row>
    <row r="31" spans="1:54" x14ac:dyDescent="0.2">
      <c r="A31" s="2">
        <v>2</v>
      </c>
      <c r="B31" s="2" t="s">
        <v>75</v>
      </c>
      <c r="C31" s="2" t="s">
        <v>75</v>
      </c>
      <c r="D31" s="2" t="s">
        <v>328</v>
      </c>
      <c r="E31" s="2" t="s">
        <v>4</v>
      </c>
      <c r="F31" s="2" t="s">
        <v>31</v>
      </c>
      <c r="G31" s="2" t="s">
        <v>179</v>
      </c>
      <c r="H31" s="2" t="s">
        <v>4</v>
      </c>
      <c r="I31" s="2" t="s">
        <v>75</v>
      </c>
      <c r="J31" s="2" t="s">
        <v>4</v>
      </c>
      <c r="K31" s="2" t="s">
        <v>75</v>
      </c>
      <c r="L31" s="2" t="s">
        <v>328</v>
      </c>
      <c r="M31" s="2" t="s">
        <v>31</v>
      </c>
      <c r="N31" s="2" t="s">
        <v>638</v>
      </c>
      <c r="O31" s="2" t="s">
        <v>642</v>
      </c>
      <c r="P31" s="2" t="s">
        <v>31</v>
      </c>
      <c r="Q31" s="2" t="s">
        <v>179</v>
      </c>
      <c r="R31" s="2" t="s">
        <v>179</v>
      </c>
      <c r="S31" s="2" t="s">
        <v>644</v>
      </c>
      <c r="T31" s="2" t="s">
        <v>75</v>
      </c>
      <c r="U31" s="2" t="s">
        <v>328</v>
      </c>
      <c r="V31" s="2" t="s">
        <v>635</v>
      </c>
      <c r="W31" s="2" t="s">
        <v>179</v>
      </c>
      <c r="X31" s="2" t="s">
        <v>634</v>
      </c>
      <c r="Y31" s="2" t="s">
        <v>639</v>
      </c>
      <c r="Z31" s="2" t="s">
        <v>635</v>
      </c>
      <c r="AA31" s="2" t="s">
        <v>638</v>
      </c>
      <c r="AB31" s="2" t="s">
        <v>635</v>
      </c>
      <c r="AC31" s="2" t="s">
        <v>179</v>
      </c>
      <c r="AD31" s="2" t="s">
        <v>636</v>
      </c>
      <c r="AE31" s="2" t="s">
        <v>636</v>
      </c>
      <c r="AF31" s="2" t="s">
        <v>633</v>
      </c>
      <c r="AG31" s="2" t="s">
        <v>639</v>
      </c>
      <c r="AO31" s="2" t="s">
        <v>689</v>
      </c>
    </row>
    <row r="32" spans="1:54" x14ac:dyDescent="0.2">
      <c r="A32" s="2">
        <v>3</v>
      </c>
      <c r="B32" s="2" t="s">
        <v>75</v>
      </c>
      <c r="C32" s="2" t="s">
        <v>75</v>
      </c>
      <c r="D32" s="2" t="s">
        <v>328</v>
      </c>
      <c r="F32" s="2" t="s">
        <v>127</v>
      </c>
      <c r="G32" s="2" t="s">
        <v>179</v>
      </c>
      <c r="H32" s="2" t="s">
        <v>4</v>
      </c>
      <c r="I32" s="2" t="s">
        <v>75</v>
      </c>
      <c r="J32" s="2" t="s">
        <v>4</v>
      </c>
      <c r="K32" s="2" t="s">
        <v>75</v>
      </c>
      <c r="L32" s="2" t="s">
        <v>328</v>
      </c>
      <c r="M32" s="2" t="s">
        <v>31</v>
      </c>
      <c r="N32" s="2" t="s">
        <v>638</v>
      </c>
      <c r="O32" s="2" t="s">
        <v>642</v>
      </c>
      <c r="P32" s="2" t="s">
        <v>31</v>
      </c>
      <c r="Q32" s="2" t="s">
        <v>179</v>
      </c>
      <c r="R32" s="2" t="s">
        <v>179</v>
      </c>
      <c r="S32" s="2" t="s">
        <v>644</v>
      </c>
      <c r="T32" s="2" t="s">
        <v>75</v>
      </c>
      <c r="U32" s="2" t="s">
        <v>328</v>
      </c>
      <c r="W32" s="2" t="s">
        <v>179</v>
      </c>
      <c r="X32" s="2" t="s">
        <v>634</v>
      </c>
      <c r="Y32" s="2" t="s">
        <v>639</v>
      </c>
      <c r="Z32" s="2" t="s">
        <v>635</v>
      </c>
      <c r="AA32" s="2" t="s">
        <v>638</v>
      </c>
      <c r="AB32" s="2" t="s">
        <v>635</v>
      </c>
      <c r="AC32" s="2" t="s">
        <v>179</v>
      </c>
      <c r="AD32" s="2" t="s">
        <v>636</v>
      </c>
      <c r="AE32" s="2" t="s">
        <v>639</v>
      </c>
      <c r="AF32" s="2" t="s">
        <v>633</v>
      </c>
      <c r="AG32" s="2" t="s">
        <v>639</v>
      </c>
      <c r="AO32" s="13" t="s">
        <v>690</v>
      </c>
    </row>
    <row r="33" spans="1:45" x14ac:dyDescent="0.2">
      <c r="A33" s="2">
        <v>4</v>
      </c>
      <c r="B33" s="2" t="s">
        <v>75</v>
      </c>
      <c r="C33" s="2" t="s">
        <v>328</v>
      </c>
      <c r="D33" s="2" t="s">
        <v>328</v>
      </c>
      <c r="F33" s="2" t="s">
        <v>127</v>
      </c>
      <c r="G33" s="2" t="s">
        <v>179</v>
      </c>
      <c r="H33" s="2" t="s">
        <v>4</v>
      </c>
      <c r="I33" s="2" t="s">
        <v>75</v>
      </c>
      <c r="J33" s="2" t="s">
        <v>4</v>
      </c>
      <c r="K33" s="2" t="s">
        <v>75</v>
      </c>
      <c r="L33" s="2" t="s">
        <v>328</v>
      </c>
      <c r="M33" s="2" t="s">
        <v>31</v>
      </c>
      <c r="O33" s="2" t="s">
        <v>642</v>
      </c>
      <c r="P33" s="2" t="s">
        <v>31</v>
      </c>
      <c r="Q33" s="2" t="s">
        <v>179</v>
      </c>
      <c r="R33" s="2" t="s">
        <v>179</v>
      </c>
      <c r="S33" s="2" t="s">
        <v>644</v>
      </c>
      <c r="T33" s="2" t="s">
        <v>75</v>
      </c>
      <c r="U33" s="2" t="s">
        <v>328</v>
      </c>
      <c r="W33" s="2" t="s">
        <v>179</v>
      </c>
      <c r="X33" s="2" t="s">
        <v>637</v>
      </c>
      <c r="Y33" s="2" t="s">
        <v>639</v>
      </c>
      <c r="Z33" s="2" t="s">
        <v>635</v>
      </c>
      <c r="AA33" s="2" t="s">
        <v>638</v>
      </c>
      <c r="AB33" s="2" t="s">
        <v>635</v>
      </c>
      <c r="AC33" s="2" t="s">
        <v>179</v>
      </c>
      <c r="AD33" s="2" t="s">
        <v>636</v>
      </c>
      <c r="AE33" s="2" t="s">
        <v>639</v>
      </c>
      <c r="AF33" s="2" t="s">
        <v>633</v>
      </c>
      <c r="AG33" s="2" t="s">
        <v>639</v>
      </c>
      <c r="AO33" s="13" t="s">
        <v>691</v>
      </c>
    </row>
    <row r="34" spans="1:45" x14ac:dyDescent="0.2">
      <c r="A34" s="2">
        <v>5</v>
      </c>
      <c r="B34" s="2" t="s">
        <v>75</v>
      </c>
      <c r="C34" s="2" t="s">
        <v>328</v>
      </c>
      <c r="D34" s="2" t="s">
        <v>328</v>
      </c>
      <c r="F34" s="2" t="s">
        <v>127</v>
      </c>
      <c r="G34" s="2" t="s">
        <v>179</v>
      </c>
      <c r="H34" s="2" t="s">
        <v>644</v>
      </c>
      <c r="I34" s="2" t="s">
        <v>75</v>
      </c>
      <c r="K34" s="2" t="s">
        <v>75</v>
      </c>
      <c r="L34" s="2" t="s">
        <v>328</v>
      </c>
      <c r="M34" s="2" t="s">
        <v>641</v>
      </c>
      <c r="O34" s="2" t="s">
        <v>642</v>
      </c>
      <c r="Q34" s="2" t="s">
        <v>179</v>
      </c>
      <c r="R34" s="2" t="s">
        <v>179</v>
      </c>
      <c r="S34" s="2" t="s">
        <v>127</v>
      </c>
      <c r="T34" s="2" t="s">
        <v>75</v>
      </c>
      <c r="U34" s="2" t="s">
        <v>328</v>
      </c>
      <c r="W34" s="2" t="s">
        <v>179</v>
      </c>
      <c r="X34" s="2" t="s">
        <v>637</v>
      </c>
      <c r="Y34" s="2" t="s">
        <v>639</v>
      </c>
      <c r="Z34" s="2" t="s">
        <v>328</v>
      </c>
      <c r="AA34" s="2" t="s">
        <v>638</v>
      </c>
      <c r="AB34" s="2" t="s">
        <v>641</v>
      </c>
      <c r="AC34" s="2" t="s">
        <v>636</v>
      </c>
      <c r="AD34" s="2" t="s">
        <v>636</v>
      </c>
      <c r="AE34" s="2" t="s">
        <v>639</v>
      </c>
      <c r="AG34" s="2" t="s">
        <v>636</v>
      </c>
      <c r="AO34" s="2" t="s">
        <v>692</v>
      </c>
      <c r="AS34" s="4" t="s">
        <v>693</v>
      </c>
    </row>
    <row r="35" spans="1:45" x14ac:dyDescent="0.2">
      <c r="A35" s="2">
        <v>6</v>
      </c>
      <c r="B35" s="2" t="s">
        <v>75</v>
      </c>
      <c r="C35" s="2" t="s">
        <v>328</v>
      </c>
      <c r="D35" s="2" t="s">
        <v>328</v>
      </c>
      <c r="F35" s="2" t="s">
        <v>127</v>
      </c>
      <c r="G35" s="2" t="s">
        <v>179</v>
      </c>
      <c r="H35" s="2" t="s">
        <v>644</v>
      </c>
      <c r="I35" s="2" t="s">
        <v>75</v>
      </c>
      <c r="K35" s="2" t="s">
        <v>75</v>
      </c>
      <c r="L35" s="2" t="s">
        <v>328</v>
      </c>
      <c r="M35" s="2" t="s">
        <v>641</v>
      </c>
      <c r="O35" s="2" t="s">
        <v>633</v>
      </c>
      <c r="Q35" s="2" t="s">
        <v>308</v>
      </c>
      <c r="R35" s="2" t="s">
        <v>179</v>
      </c>
      <c r="S35" s="2" t="s">
        <v>127</v>
      </c>
      <c r="T35" s="2" t="s">
        <v>75</v>
      </c>
      <c r="U35" s="2" t="s">
        <v>328</v>
      </c>
      <c r="W35" s="2" t="s">
        <v>179</v>
      </c>
      <c r="X35" s="2" t="s">
        <v>637</v>
      </c>
      <c r="Y35" s="2" t="s">
        <v>639</v>
      </c>
      <c r="Z35" s="2" t="s">
        <v>328</v>
      </c>
      <c r="AA35" s="2" t="s">
        <v>638</v>
      </c>
      <c r="AB35" s="2" t="s">
        <v>641</v>
      </c>
      <c r="AC35" s="2" t="s">
        <v>636</v>
      </c>
      <c r="AD35" s="2" t="s">
        <v>636</v>
      </c>
      <c r="AE35" s="2" t="s">
        <v>639</v>
      </c>
      <c r="AG35" s="2" t="s">
        <v>636</v>
      </c>
      <c r="AO35" s="13" t="s">
        <v>694</v>
      </c>
    </row>
    <row r="36" spans="1:45" x14ac:dyDescent="0.2">
      <c r="A36" s="2">
        <v>7</v>
      </c>
      <c r="B36" s="2" t="s">
        <v>75</v>
      </c>
      <c r="C36" s="2" t="s">
        <v>328</v>
      </c>
      <c r="D36" s="2" t="s">
        <v>328</v>
      </c>
      <c r="F36" s="2" t="s">
        <v>127</v>
      </c>
      <c r="G36" s="2" t="s">
        <v>179</v>
      </c>
      <c r="H36" s="2" t="s">
        <v>644</v>
      </c>
      <c r="I36" s="2" t="s">
        <v>75</v>
      </c>
      <c r="K36" s="2" t="s">
        <v>75</v>
      </c>
      <c r="L36" s="2" t="s">
        <v>328</v>
      </c>
      <c r="M36" s="2" t="s">
        <v>641</v>
      </c>
      <c r="Q36" s="2" t="s">
        <v>308</v>
      </c>
      <c r="R36" s="2" t="s">
        <v>179</v>
      </c>
      <c r="S36" s="2" t="s">
        <v>127</v>
      </c>
      <c r="T36" s="2" t="s">
        <v>75</v>
      </c>
      <c r="U36" s="2" t="s">
        <v>328</v>
      </c>
      <c r="W36" s="2" t="s">
        <v>179</v>
      </c>
      <c r="X36" s="2" t="s">
        <v>637</v>
      </c>
      <c r="Y36" s="2" t="s">
        <v>639</v>
      </c>
      <c r="Z36" s="2" t="s">
        <v>328</v>
      </c>
      <c r="AA36" s="2" t="s">
        <v>638</v>
      </c>
      <c r="AB36" s="2" t="s">
        <v>641</v>
      </c>
      <c r="AC36" s="2" t="s">
        <v>636</v>
      </c>
      <c r="AD36" s="2" t="s">
        <v>636</v>
      </c>
      <c r="AG36" s="2" t="s">
        <v>636</v>
      </c>
      <c r="AO36" s="13" t="s">
        <v>695</v>
      </c>
      <c r="AS36" s="2" t="s">
        <v>696</v>
      </c>
    </row>
    <row r="37" spans="1:45" x14ac:dyDescent="0.2">
      <c r="A37" s="2">
        <v>8</v>
      </c>
      <c r="B37" s="2" t="s">
        <v>75</v>
      </c>
      <c r="C37" s="2" t="s">
        <v>328</v>
      </c>
      <c r="D37" s="2" t="s">
        <v>328</v>
      </c>
      <c r="F37" s="2" t="s">
        <v>127</v>
      </c>
      <c r="G37" s="2" t="s">
        <v>308</v>
      </c>
      <c r="H37" s="2" t="s">
        <v>644</v>
      </c>
      <c r="I37" s="2" t="s">
        <v>75</v>
      </c>
      <c r="K37" s="2" t="s">
        <v>75</v>
      </c>
      <c r="L37" s="2" t="s">
        <v>328</v>
      </c>
      <c r="M37" s="2" t="s">
        <v>641</v>
      </c>
      <c r="Q37" s="2" t="s">
        <v>308</v>
      </c>
      <c r="R37" s="2" t="s">
        <v>179</v>
      </c>
      <c r="S37" s="2" t="s">
        <v>127</v>
      </c>
      <c r="T37" s="2" t="s">
        <v>75</v>
      </c>
      <c r="U37" s="2" t="s">
        <v>328</v>
      </c>
      <c r="W37" s="2" t="s">
        <v>179</v>
      </c>
      <c r="X37" s="2" t="s">
        <v>637</v>
      </c>
      <c r="Y37" s="2" t="s">
        <v>639</v>
      </c>
      <c r="Z37" s="2" t="s">
        <v>328</v>
      </c>
      <c r="AA37" s="2" t="s">
        <v>638</v>
      </c>
      <c r="AB37" s="2" t="s">
        <v>641</v>
      </c>
      <c r="AC37" s="2" t="s">
        <v>636</v>
      </c>
      <c r="AD37" s="2" t="s">
        <v>636</v>
      </c>
      <c r="AG37" s="2" t="s">
        <v>636</v>
      </c>
      <c r="AO37" s="2" t="s">
        <v>697</v>
      </c>
    </row>
    <row r="38" spans="1:45" x14ac:dyDescent="0.2">
      <c r="A38" s="2">
        <v>9</v>
      </c>
      <c r="B38" s="2" t="s">
        <v>75</v>
      </c>
      <c r="C38" s="2" t="s">
        <v>4</v>
      </c>
      <c r="D38" s="2" t="s">
        <v>328</v>
      </c>
      <c r="F38" s="2" t="s">
        <v>127</v>
      </c>
      <c r="G38" s="2" t="s">
        <v>308</v>
      </c>
      <c r="H38" s="2" t="s">
        <v>644</v>
      </c>
      <c r="K38" s="2" t="s">
        <v>328</v>
      </c>
      <c r="L38" s="2" t="s">
        <v>328</v>
      </c>
      <c r="Q38" s="2" t="s">
        <v>308</v>
      </c>
      <c r="R38" s="2" t="s">
        <v>4</v>
      </c>
      <c r="S38" s="2" t="s">
        <v>698</v>
      </c>
      <c r="T38" s="2" t="s">
        <v>31</v>
      </c>
      <c r="U38" s="2" t="s">
        <v>643</v>
      </c>
      <c r="X38" s="2" t="s">
        <v>637</v>
      </c>
      <c r="Y38" s="2" t="s">
        <v>639</v>
      </c>
      <c r="Z38" s="2" t="s">
        <v>640</v>
      </c>
      <c r="AB38" s="2" t="s">
        <v>641</v>
      </c>
      <c r="AD38" s="2" t="s">
        <v>633</v>
      </c>
      <c r="AG38" s="2" t="s">
        <v>699</v>
      </c>
      <c r="AO38" s="2" t="s">
        <v>700</v>
      </c>
    </row>
    <row r="39" spans="1:45" x14ac:dyDescent="0.2">
      <c r="A39" s="2">
        <v>10</v>
      </c>
      <c r="B39" s="2" t="s">
        <v>75</v>
      </c>
      <c r="C39" s="2" t="s">
        <v>4</v>
      </c>
      <c r="D39" s="2" t="s">
        <v>328</v>
      </c>
      <c r="F39" s="2" t="s">
        <v>308</v>
      </c>
      <c r="G39" s="2" t="s">
        <v>308</v>
      </c>
      <c r="H39" s="2" t="s">
        <v>644</v>
      </c>
      <c r="K39" s="2" t="s">
        <v>328</v>
      </c>
      <c r="L39" s="2" t="s">
        <v>328</v>
      </c>
      <c r="R39" s="2" t="s">
        <v>4</v>
      </c>
      <c r="S39" s="2" t="s">
        <v>179</v>
      </c>
      <c r="T39" s="2" t="s">
        <v>31</v>
      </c>
      <c r="U39" s="2" t="s">
        <v>643</v>
      </c>
      <c r="X39" s="2" t="s">
        <v>465</v>
      </c>
      <c r="Y39" s="2" t="s">
        <v>639</v>
      </c>
      <c r="Z39" s="2" t="s">
        <v>640</v>
      </c>
      <c r="AB39" s="2" t="s">
        <v>641</v>
      </c>
      <c r="AD39" s="2" t="s">
        <v>633</v>
      </c>
      <c r="AG39" s="2" t="s">
        <v>699</v>
      </c>
    </row>
    <row r="40" spans="1:45" x14ac:dyDescent="0.2">
      <c r="A40" s="2">
        <v>11</v>
      </c>
      <c r="B40" s="2" t="s">
        <v>75</v>
      </c>
      <c r="C40" s="2" t="s">
        <v>4</v>
      </c>
      <c r="F40" s="2" t="s">
        <v>308</v>
      </c>
      <c r="G40" s="2" t="s">
        <v>308</v>
      </c>
      <c r="H40" s="2" t="s">
        <v>644</v>
      </c>
      <c r="K40" s="2" t="s">
        <v>328</v>
      </c>
      <c r="L40" s="2" t="s">
        <v>328</v>
      </c>
      <c r="R40" s="2" t="s">
        <v>4</v>
      </c>
      <c r="S40" s="2" t="s">
        <v>179</v>
      </c>
      <c r="T40" s="2" t="s">
        <v>31</v>
      </c>
      <c r="U40" s="2" t="s">
        <v>643</v>
      </c>
      <c r="X40" s="2" t="s">
        <v>465</v>
      </c>
      <c r="Y40" s="2" t="s">
        <v>639</v>
      </c>
      <c r="Z40" s="2" t="s">
        <v>640</v>
      </c>
      <c r="AB40" s="2" t="s">
        <v>641</v>
      </c>
      <c r="AD40" s="2" t="s">
        <v>633</v>
      </c>
      <c r="AG40" s="2" t="s">
        <v>699</v>
      </c>
    </row>
    <row r="41" spans="1:45" x14ac:dyDescent="0.2">
      <c r="A41" s="2">
        <v>12</v>
      </c>
      <c r="B41" s="2" t="s">
        <v>75</v>
      </c>
      <c r="C41" s="2" t="s">
        <v>4</v>
      </c>
      <c r="F41" s="2" t="s">
        <v>308</v>
      </c>
      <c r="H41" s="2" t="s">
        <v>644</v>
      </c>
      <c r="K41" s="2" t="s">
        <v>328</v>
      </c>
      <c r="L41" s="2" t="s">
        <v>328</v>
      </c>
      <c r="R41" s="2" t="s">
        <v>4</v>
      </c>
      <c r="S41" s="2" t="s">
        <v>179</v>
      </c>
      <c r="T41" s="2" t="s">
        <v>31</v>
      </c>
      <c r="Z41" s="2" t="s">
        <v>640</v>
      </c>
      <c r="AB41" s="2" t="s">
        <v>641</v>
      </c>
      <c r="AD41" s="2" t="s">
        <v>633</v>
      </c>
      <c r="AG41" s="2" t="s">
        <v>699</v>
      </c>
    </row>
    <row r="44" spans="1:45" x14ac:dyDescent="0.2">
      <c r="B44" s="2">
        <v>12</v>
      </c>
      <c r="C44" s="2">
        <v>12</v>
      </c>
      <c r="D44" s="2">
        <v>10</v>
      </c>
      <c r="E44" s="2">
        <v>2</v>
      </c>
      <c r="F44" s="2">
        <v>10</v>
      </c>
      <c r="G44" s="2">
        <v>8</v>
      </c>
      <c r="H44" s="2">
        <v>10</v>
      </c>
      <c r="I44" s="2">
        <v>8</v>
      </c>
      <c r="J44" s="2">
        <v>4</v>
      </c>
      <c r="K44" s="2">
        <v>12</v>
      </c>
      <c r="L44" s="2">
        <v>12</v>
      </c>
      <c r="M44" s="2">
        <v>8</v>
      </c>
      <c r="N44" s="2">
        <v>3</v>
      </c>
      <c r="O44" s="2">
        <v>6</v>
      </c>
      <c r="P44" s="2">
        <v>4</v>
      </c>
      <c r="Q44" s="2">
        <v>9</v>
      </c>
      <c r="R44" s="2">
        <v>12</v>
      </c>
      <c r="S44" s="2">
        <v>12</v>
      </c>
      <c r="T44" s="2">
        <v>12</v>
      </c>
      <c r="U44" s="2">
        <v>11</v>
      </c>
      <c r="V44" s="2">
        <v>2</v>
      </c>
      <c r="W44" s="2">
        <v>8</v>
      </c>
      <c r="X44" s="2">
        <v>11</v>
      </c>
      <c r="Y44" s="2">
        <v>11</v>
      </c>
      <c r="Z44" s="2">
        <v>12</v>
      </c>
      <c r="AA44" s="2">
        <v>8</v>
      </c>
      <c r="AB44" s="2">
        <v>12</v>
      </c>
      <c r="AC44" s="2">
        <v>8</v>
      </c>
      <c r="AD44" s="2">
        <v>12</v>
      </c>
      <c r="AE44" s="2">
        <v>6</v>
      </c>
      <c r="AF44" s="2">
        <v>4</v>
      </c>
      <c r="AG44" s="2">
        <v>12</v>
      </c>
      <c r="AH44" s="2">
        <v>283</v>
      </c>
    </row>
    <row r="45" spans="1:45" x14ac:dyDescent="0.2">
      <c r="B45" s="2">
        <v>30</v>
      </c>
      <c r="C45" s="2">
        <v>30</v>
      </c>
      <c r="D45" s="2">
        <v>30</v>
      </c>
      <c r="E45" s="2">
        <v>15</v>
      </c>
      <c r="F45" s="2">
        <v>30</v>
      </c>
      <c r="G45" s="2">
        <v>30</v>
      </c>
      <c r="H45" s="2">
        <v>30</v>
      </c>
      <c r="I45" s="2">
        <v>30</v>
      </c>
      <c r="J45" s="2">
        <v>15</v>
      </c>
      <c r="K45" s="2">
        <v>30</v>
      </c>
      <c r="L45" s="2">
        <v>30</v>
      </c>
      <c r="M45" s="2">
        <v>30</v>
      </c>
      <c r="N45" s="2">
        <v>30</v>
      </c>
      <c r="O45" s="2">
        <v>30</v>
      </c>
      <c r="P45" s="2">
        <v>30</v>
      </c>
      <c r="Q45" s="2">
        <v>30</v>
      </c>
      <c r="R45" s="2">
        <v>30</v>
      </c>
      <c r="S45" s="2">
        <v>30</v>
      </c>
      <c r="T45" s="2">
        <v>30</v>
      </c>
      <c r="U45" s="2">
        <v>30</v>
      </c>
      <c r="V45" s="2">
        <v>60</v>
      </c>
      <c r="W45" s="2">
        <v>30</v>
      </c>
      <c r="X45" s="2">
        <v>30</v>
      </c>
      <c r="Y45" s="2">
        <v>30</v>
      </c>
      <c r="Z45" s="2">
        <v>30</v>
      </c>
      <c r="AA45" s="2">
        <v>15</v>
      </c>
      <c r="AB45" s="2">
        <v>15</v>
      </c>
      <c r="AC45" s="2">
        <v>30</v>
      </c>
      <c r="AD45" s="2">
        <v>30</v>
      </c>
      <c r="AE45" s="2">
        <v>30</v>
      </c>
      <c r="AF45" s="2">
        <v>15</v>
      </c>
      <c r="AG45" s="2">
        <v>60</v>
      </c>
    </row>
    <row r="46" spans="1:45" x14ac:dyDescent="0.2">
      <c r="B46" s="2">
        <v>360</v>
      </c>
      <c r="C46" s="2">
        <v>360</v>
      </c>
      <c r="D46" s="2">
        <v>300</v>
      </c>
      <c r="E46" s="2">
        <v>30</v>
      </c>
      <c r="F46" s="2">
        <v>300</v>
      </c>
      <c r="G46" s="2">
        <v>240</v>
      </c>
      <c r="H46" s="2">
        <v>300</v>
      </c>
      <c r="I46" s="2">
        <v>240</v>
      </c>
      <c r="J46" s="2">
        <v>60</v>
      </c>
      <c r="K46" s="2">
        <v>360</v>
      </c>
      <c r="L46" s="2">
        <v>360</v>
      </c>
      <c r="M46" s="2">
        <v>240</v>
      </c>
      <c r="N46" s="2">
        <v>90</v>
      </c>
      <c r="O46" s="2">
        <v>180</v>
      </c>
      <c r="P46" s="2">
        <v>120</v>
      </c>
      <c r="Q46" s="2">
        <v>270</v>
      </c>
      <c r="R46" s="2">
        <v>360</v>
      </c>
      <c r="S46" s="2">
        <v>360</v>
      </c>
      <c r="T46" s="2">
        <v>360</v>
      </c>
      <c r="U46" s="2">
        <v>330</v>
      </c>
      <c r="V46" s="2">
        <v>120</v>
      </c>
      <c r="W46" s="2">
        <v>240</v>
      </c>
      <c r="X46" s="2">
        <v>330</v>
      </c>
      <c r="Y46" s="2">
        <v>330</v>
      </c>
      <c r="Z46" s="2">
        <v>360</v>
      </c>
      <c r="AA46" s="2">
        <v>120</v>
      </c>
      <c r="AB46" s="2">
        <v>180</v>
      </c>
      <c r="AC46" s="2">
        <v>240</v>
      </c>
      <c r="AD46" s="2">
        <v>360</v>
      </c>
      <c r="AE46" s="2">
        <v>180</v>
      </c>
      <c r="AF46" s="2">
        <v>60</v>
      </c>
      <c r="AG46" s="2">
        <v>720</v>
      </c>
      <c r="AH46" s="2">
        <v>8460</v>
      </c>
    </row>
    <row r="47" spans="1:45" x14ac:dyDescent="0.2">
      <c r="B47" s="3">
        <v>0.375</v>
      </c>
      <c r="C47" s="3">
        <v>0.39583333333333331</v>
      </c>
      <c r="D47" s="3">
        <v>0.40625</v>
      </c>
      <c r="E47" s="3">
        <v>0.41666666666666669</v>
      </c>
      <c r="F47" s="3">
        <v>0.42708333333333331</v>
      </c>
      <c r="G47" s="3">
        <v>0.4375</v>
      </c>
      <c r="H47" s="3">
        <v>0.45833333333333331</v>
      </c>
      <c r="I47" s="3">
        <v>0.46875</v>
      </c>
      <c r="J47" s="3">
        <v>0.47916666666666669</v>
      </c>
      <c r="K47" s="3">
        <v>0.5</v>
      </c>
      <c r="L47" s="3">
        <v>0.52083333333333337</v>
      </c>
      <c r="M47" s="3">
        <v>0.53125</v>
      </c>
      <c r="N47" s="3">
        <v>0.54166666666666663</v>
      </c>
      <c r="O47" s="3">
        <v>0.5625</v>
      </c>
      <c r="P47" s="3">
        <v>0.58333333333333337</v>
      </c>
      <c r="Q47" s="3">
        <v>0.60416666666666663</v>
      </c>
      <c r="R47" s="3">
        <v>0.625</v>
      </c>
      <c r="S47" s="3">
        <v>0.64583333333333337</v>
      </c>
      <c r="T47" s="3">
        <v>0.66666666666666663</v>
      </c>
      <c r="U47" s="3">
        <v>0.6875</v>
      </c>
      <c r="V47" s="3">
        <v>0.70833333333333337</v>
      </c>
      <c r="W47" s="3">
        <v>0.71875</v>
      </c>
      <c r="X47" s="3">
        <v>0.72916666666666663</v>
      </c>
    </row>
    <row r="48" spans="1:45" x14ac:dyDescent="0.2">
      <c r="A48" s="2">
        <v>1</v>
      </c>
      <c r="B48" s="2" t="s">
        <v>635</v>
      </c>
      <c r="C48" s="2" t="s">
        <v>638</v>
      </c>
      <c r="D48" s="2" t="s">
        <v>633</v>
      </c>
      <c r="E48" s="2" t="s">
        <v>639</v>
      </c>
      <c r="F48" s="2" t="s">
        <v>75</v>
      </c>
      <c r="G48" s="2" t="s">
        <v>634</v>
      </c>
      <c r="H48" s="2" t="s">
        <v>640</v>
      </c>
      <c r="I48" s="2" t="s">
        <v>75</v>
      </c>
      <c r="J48" s="2" t="s">
        <v>4</v>
      </c>
      <c r="K48" s="2" t="s">
        <v>636</v>
      </c>
      <c r="L48" s="2" t="s">
        <v>633</v>
      </c>
      <c r="M48" s="2" t="s">
        <v>328</v>
      </c>
      <c r="N48" s="2" t="s">
        <v>465</v>
      </c>
      <c r="O48" s="2" t="s">
        <v>635</v>
      </c>
      <c r="P48" s="2" t="s">
        <v>636</v>
      </c>
      <c r="Q48" s="2" t="s">
        <v>639</v>
      </c>
      <c r="R48" s="2" t="s">
        <v>4</v>
      </c>
      <c r="S48" s="2" t="s">
        <v>641</v>
      </c>
      <c r="T48" s="2" t="s">
        <v>636</v>
      </c>
      <c r="U48" s="2" t="s">
        <v>308</v>
      </c>
      <c r="V48" s="2" t="s">
        <v>642</v>
      </c>
      <c r="W48" s="2" t="s">
        <v>638</v>
      </c>
      <c r="X48" s="2" t="s">
        <v>641</v>
      </c>
    </row>
    <row r="49" spans="1:34" x14ac:dyDescent="0.2">
      <c r="A49" s="2">
        <v>2</v>
      </c>
      <c r="B49" s="2" t="s">
        <v>635</v>
      </c>
      <c r="C49" s="2" t="s">
        <v>638</v>
      </c>
      <c r="D49" s="2" t="s">
        <v>633</v>
      </c>
      <c r="E49" s="2" t="s">
        <v>639</v>
      </c>
      <c r="F49" s="2" t="s">
        <v>75</v>
      </c>
      <c r="G49" s="2" t="s">
        <v>634</v>
      </c>
      <c r="H49" s="2" t="s">
        <v>640</v>
      </c>
      <c r="I49" s="2" t="s">
        <v>75</v>
      </c>
      <c r="J49" s="2" t="s">
        <v>4</v>
      </c>
      <c r="K49" s="2" t="s">
        <v>636</v>
      </c>
      <c r="L49" s="2" t="s">
        <v>633</v>
      </c>
      <c r="N49" s="2" t="s">
        <v>179</v>
      </c>
      <c r="O49" s="2" t="s">
        <v>635</v>
      </c>
      <c r="P49" s="2" t="s">
        <v>636</v>
      </c>
      <c r="Q49" s="2" t="s">
        <v>308</v>
      </c>
      <c r="R49" s="2" t="s">
        <v>31</v>
      </c>
      <c r="S49" s="2" t="s">
        <v>641</v>
      </c>
      <c r="T49" s="2" t="s">
        <v>637</v>
      </c>
      <c r="U49" s="2" t="s">
        <v>179</v>
      </c>
      <c r="V49" s="2" t="s">
        <v>643</v>
      </c>
      <c r="W49" s="2" t="s">
        <v>635</v>
      </c>
      <c r="X49" s="2" t="s">
        <v>644</v>
      </c>
    </row>
    <row r="50" spans="1:34" x14ac:dyDescent="0.2">
      <c r="A50" s="2">
        <v>3</v>
      </c>
      <c r="B50" s="2" t="s">
        <v>635</v>
      </c>
      <c r="C50" s="2" t="s">
        <v>638</v>
      </c>
      <c r="D50" s="2" t="s">
        <v>633</v>
      </c>
      <c r="E50" s="2" t="s">
        <v>639</v>
      </c>
      <c r="F50" s="2" t="s">
        <v>75</v>
      </c>
      <c r="G50" s="2" t="s">
        <v>634</v>
      </c>
      <c r="H50" s="2" t="s">
        <v>639</v>
      </c>
      <c r="I50" s="2" t="s">
        <v>127</v>
      </c>
      <c r="J50" s="2" t="s">
        <v>31</v>
      </c>
      <c r="K50" s="2" t="s">
        <v>636</v>
      </c>
      <c r="L50" s="2" t="s">
        <v>634</v>
      </c>
      <c r="N50" s="2" t="s">
        <v>179</v>
      </c>
      <c r="O50" s="2" t="s">
        <v>638</v>
      </c>
      <c r="P50" s="2" t="s">
        <v>642</v>
      </c>
      <c r="Q50" s="2" t="s">
        <v>308</v>
      </c>
      <c r="R50" s="2" t="s">
        <v>75</v>
      </c>
      <c r="T50" s="2" t="s">
        <v>642</v>
      </c>
      <c r="U50" s="2" t="s">
        <v>633</v>
      </c>
    </row>
    <row r="51" spans="1:34" x14ac:dyDescent="0.2">
      <c r="A51" s="2">
        <v>4</v>
      </c>
      <c r="B51" s="2" t="s">
        <v>635</v>
      </c>
      <c r="C51" s="2" t="s">
        <v>638</v>
      </c>
      <c r="D51" s="2" t="s">
        <v>633</v>
      </c>
      <c r="E51" s="2" t="s">
        <v>639</v>
      </c>
      <c r="F51" s="2" t="s">
        <v>75</v>
      </c>
      <c r="G51" s="2" t="s">
        <v>634</v>
      </c>
      <c r="H51" s="2" t="s">
        <v>639</v>
      </c>
      <c r="I51" s="2" t="s">
        <v>127</v>
      </c>
      <c r="J51" s="2" t="s">
        <v>31</v>
      </c>
      <c r="K51" s="2" t="s">
        <v>636</v>
      </c>
      <c r="L51" s="2" t="s">
        <v>634</v>
      </c>
      <c r="O51" s="2" t="s">
        <v>638</v>
      </c>
      <c r="P51" s="2" t="s">
        <v>642</v>
      </c>
      <c r="R51" s="2" t="s">
        <v>127</v>
      </c>
      <c r="T51" s="2" t="s">
        <v>642</v>
      </c>
      <c r="U51" s="2" t="s">
        <v>634</v>
      </c>
    </row>
    <row r="52" spans="1:34" x14ac:dyDescent="0.2">
      <c r="A52" s="2">
        <v>5</v>
      </c>
      <c r="B52" s="2" t="s">
        <v>641</v>
      </c>
      <c r="C52" s="2" t="s">
        <v>642</v>
      </c>
      <c r="E52" s="2" t="s">
        <v>465</v>
      </c>
      <c r="G52" s="2" t="s">
        <v>637</v>
      </c>
      <c r="H52" s="2" t="s">
        <v>465</v>
      </c>
      <c r="K52" s="2" t="s">
        <v>640</v>
      </c>
      <c r="L52" s="2" t="s">
        <v>637</v>
      </c>
      <c r="P52" s="2" t="s">
        <v>642</v>
      </c>
      <c r="R52" s="2" t="s">
        <v>644</v>
      </c>
      <c r="T52" s="2" t="s">
        <v>643</v>
      </c>
    </row>
    <row r="53" spans="1:34" x14ac:dyDescent="0.2">
      <c r="A53" s="2">
        <v>6</v>
      </c>
      <c r="B53" s="2" t="s">
        <v>641</v>
      </c>
      <c r="C53" s="2" t="s">
        <v>642</v>
      </c>
      <c r="E53" s="2" t="s">
        <v>465</v>
      </c>
      <c r="G53" s="2" t="s">
        <v>637</v>
      </c>
      <c r="H53" s="2" t="s">
        <v>465</v>
      </c>
      <c r="L53" s="2" t="s">
        <v>637</v>
      </c>
      <c r="P53" s="2" t="s">
        <v>642</v>
      </c>
      <c r="R53" s="2" t="s">
        <v>644</v>
      </c>
      <c r="T53" s="2" t="s">
        <v>643</v>
      </c>
      <c r="AH53" s="2">
        <v>11790</v>
      </c>
    </row>
    <row r="54" spans="1:34" x14ac:dyDescent="0.2">
      <c r="A54" s="2">
        <v>7</v>
      </c>
      <c r="B54" s="2" t="s">
        <v>641</v>
      </c>
      <c r="C54" s="2" t="s">
        <v>642</v>
      </c>
      <c r="E54" s="2" t="s">
        <v>465</v>
      </c>
      <c r="G54" s="2" t="s">
        <v>637</v>
      </c>
      <c r="AH54" s="2">
        <v>394</v>
      </c>
    </row>
    <row r="55" spans="1:34" x14ac:dyDescent="0.2">
      <c r="A55" s="2">
        <v>8</v>
      </c>
      <c r="B55" s="2" t="s">
        <v>641</v>
      </c>
      <c r="C55" s="2" t="s">
        <v>642</v>
      </c>
      <c r="E55" s="2" t="s">
        <v>465</v>
      </c>
      <c r="G55" s="2" t="s">
        <v>637</v>
      </c>
      <c r="AH55" s="2" t="s">
        <v>701</v>
      </c>
    </row>
    <row r="56" spans="1:34" x14ac:dyDescent="0.2">
      <c r="A56" s="2">
        <v>9</v>
      </c>
      <c r="B56" s="2" t="s">
        <v>642</v>
      </c>
      <c r="G56" s="2" t="s">
        <v>328</v>
      </c>
    </row>
    <row r="57" spans="1:34" x14ac:dyDescent="0.2">
      <c r="A57" s="2">
        <v>10</v>
      </c>
      <c r="B57" s="2" t="s">
        <v>642</v>
      </c>
      <c r="G57" s="2" t="s">
        <v>328</v>
      </c>
    </row>
    <row r="58" spans="1:34" x14ac:dyDescent="0.2">
      <c r="A58" s="2">
        <v>11</v>
      </c>
      <c r="B58" s="2" t="s">
        <v>642</v>
      </c>
    </row>
    <row r="59" spans="1:34" x14ac:dyDescent="0.2">
      <c r="A59" s="2">
        <v>12</v>
      </c>
      <c r="B59" s="2" t="s">
        <v>642</v>
      </c>
    </row>
    <row r="62" spans="1:34" x14ac:dyDescent="0.2">
      <c r="B62" s="2">
        <v>12</v>
      </c>
      <c r="C62" s="2">
        <v>8</v>
      </c>
      <c r="D62" s="2">
        <v>4</v>
      </c>
      <c r="E62" s="2">
        <v>8</v>
      </c>
      <c r="F62" s="2">
        <v>4</v>
      </c>
      <c r="G62" s="2">
        <v>10</v>
      </c>
      <c r="H62" s="2">
        <v>6</v>
      </c>
      <c r="I62" s="2">
        <v>4</v>
      </c>
      <c r="J62" s="2">
        <v>4</v>
      </c>
      <c r="K62" s="2">
        <v>4</v>
      </c>
      <c r="L62" s="2">
        <v>6</v>
      </c>
      <c r="M62" s="2">
        <v>1</v>
      </c>
      <c r="N62" s="2">
        <v>3</v>
      </c>
      <c r="O62" s="2">
        <v>4</v>
      </c>
      <c r="P62" s="2">
        <v>6</v>
      </c>
      <c r="Q62" s="2">
        <v>3</v>
      </c>
      <c r="R62" s="2">
        <v>6</v>
      </c>
      <c r="S62" s="2">
        <v>2</v>
      </c>
      <c r="T62" s="2">
        <v>6</v>
      </c>
      <c r="U62" s="2">
        <v>4</v>
      </c>
      <c r="V62" s="2">
        <v>2</v>
      </c>
      <c r="W62" s="2">
        <v>2</v>
      </c>
      <c r="X62" s="2">
        <v>2</v>
      </c>
      <c r="Y62" s="2">
        <v>111</v>
      </c>
    </row>
    <row r="63" spans="1:34" x14ac:dyDescent="0.2">
      <c r="B63" s="2">
        <v>30</v>
      </c>
      <c r="C63" s="2">
        <v>30</v>
      </c>
      <c r="D63" s="2">
        <v>30</v>
      </c>
      <c r="E63" s="2">
        <v>30</v>
      </c>
      <c r="F63" s="2">
        <v>30</v>
      </c>
      <c r="G63" s="2">
        <v>30</v>
      </c>
      <c r="H63" s="2">
        <v>30</v>
      </c>
      <c r="I63" s="2">
        <v>15</v>
      </c>
      <c r="J63" s="2">
        <v>30</v>
      </c>
      <c r="K63" s="2">
        <v>30</v>
      </c>
      <c r="L63" s="2">
        <v>30</v>
      </c>
      <c r="M63" s="2">
        <v>30</v>
      </c>
      <c r="N63" s="2">
        <v>30</v>
      </c>
      <c r="O63" s="2">
        <v>30</v>
      </c>
      <c r="P63" s="2">
        <v>30</v>
      </c>
      <c r="Q63" s="2">
        <v>30</v>
      </c>
      <c r="R63" s="2">
        <v>30</v>
      </c>
      <c r="S63" s="2">
        <v>30</v>
      </c>
      <c r="T63" s="2">
        <v>30</v>
      </c>
      <c r="U63" s="2">
        <v>30</v>
      </c>
      <c r="V63" s="2">
        <v>30</v>
      </c>
      <c r="W63" s="2">
        <v>30</v>
      </c>
      <c r="X63" s="2">
        <v>60</v>
      </c>
    </row>
    <row r="64" spans="1:34" x14ac:dyDescent="0.2">
      <c r="B64" s="2">
        <v>360</v>
      </c>
      <c r="C64" s="2">
        <v>240</v>
      </c>
      <c r="D64" s="2">
        <v>120</v>
      </c>
      <c r="E64" s="2">
        <v>240</v>
      </c>
      <c r="F64" s="2">
        <v>120</v>
      </c>
      <c r="G64" s="2">
        <v>300</v>
      </c>
      <c r="H64" s="2">
        <v>180</v>
      </c>
      <c r="I64" s="2">
        <v>60</v>
      </c>
      <c r="J64" s="2">
        <v>120</v>
      </c>
      <c r="K64" s="2">
        <v>120</v>
      </c>
      <c r="L64" s="2">
        <v>180</v>
      </c>
      <c r="M64" s="2">
        <v>30</v>
      </c>
      <c r="N64" s="2">
        <v>90</v>
      </c>
      <c r="O64" s="2">
        <v>120</v>
      </c>
      <c r="P64" s="2">
        <v>180</v>
      </c>
      <c r="Q64" s="2">
        <v>90</v>
      </c>
      <c r="R64" s="2">
        <v>180</v>
      </c>
      <c r="S64" s="2">
        <v>60</v>
      </c>
      <c r="T64" s="2">
        <v>180</v>
      </c>
      <c r="U64" s="2">
        <v>120</v>
      </c>
      <c r="V64" s="2">
        <v>60</v>
      </c>
      <c r="W64" s="2">
        <v>60</v>
      </c>
      <c r="X64" s="2">
        <v>120</v>
      </c>
      <c r="Y64" s="2">
        <v>3330</v>
      </c>
    </row>
    <row r="66" spans="2:21" x14ac:dyDescent="0.2">
      <c r="L66" s="2" t="s">
        <v>702</v>
      </c>
    </row>
    <row r="75" spans="2:21" x14ac:dyDescent="0.2">
      <c r="B75" s="2" t="s">
        <v>4</v>
      </c>
      <c r="C75" s="2" t="s">
        <v>31</v>
      </c>
      <c r="D75" s="2" t="s">
        <v>633</v>
      </c>
      <c r="E75" s="2" t="s">
        <v>634</v>
      </c>
      <c r="F75" s="2" t="s">
        <v>635</v>
      </c>
      <c r="G75" s="2" t="s">
        <v>75</v>
      </c>
      <c r="H75" s="2" t="s">
        <v>127</v>
      </c>
      <c r="I75" s="2" t="s">
        <v>636</v>
      </c>
      <c r="J75" s="2" t="s">
        <v>637</v>
      </c>
      <c r="K75" s="2" t="s">
        <v>638</v>
      </c>
      <c r="L75" s="2" t="s">
        <v>179</v>
      </c>
      <c r="M75" s="2" t="s">
        <v>308</v>
      </c>
      <c r="N75" s="2" t="s">
        <v>639</v>
      </c>
      <c r="O75" s="2" t="s">
        <v>640</v>
      </c>
      <c r="P75" s="2" t="s">
        <v>641</v>
      </c>
      <c r="Q75" s="2" t="s">
        <v>328</v>
      </c>
      <c r="R75" s="2" t="s">
        <v>465</v>
      </c>
      <c r="S75" s="2" t="s">
        <v>642</v>
      </c>
      <c r="T75" s="2" t="s">
        <v>643</v>
      </c>
      <c r="U75" s="2" t="s">
        <v>644</v>
      </c>
    </row>
    <row r="76" spans="2:21" x14ac:dyDescent="0.2">
      <c r="B76" s="2" t="s">
        <v>4</v>
      </c>
      <c r="D76" s="2" t="s">
        <v>4</v>
      </c>
      <c r="F76" s="2" t="s">
        <v>4</v>
      </c>
      <c r="I76" s="2" t="s">
        <v>4</v>
      </c>
      <c r="K76" s="2" t="s">
        <v>4</v>
      </c>
    </row>
    <row r="77" spans="2:21" x14ac:dyDescent="0.2">
      <c r="C77" s="2" t="s">
        <v>31</v>
      </c>
      <c r="E77" s="2" t="s">
        <v>31</v>
      </c>
      <c r="F77" s="2" t="s">
        <v>31</v>
      </c>
      <c r="J77" s="2" t="s">
        <v>31</v>
      </c>
      <c r="K77" s="2" t="s">
        <v>31</v>
      </c>
    </row>
    <row r="78" spans="2:21" x14ac:dyDescent="0.2">
      <c r="B78" s="2" t="s">
        <v>633</v>
      </c>
      <c r="D78" s="2" t="s">
        <v>633</v>
      </c>
      <c r="F78" s="2" t="s">
        <v>633</v>
      </c>
      <c r="G78" s="2" t="s">
        <v>633</v>
      </c>
      <c r="K78" s="2" t="s">
        <v>633</v>
      </c>
    </row>
    <row r="79" spans="2:21" x14ac:dyDescent="0.2">
      <c r="C79" s="2" t="s">
        <v>634</v>
      </c>
      <c r="E79" s="2" t="s">
        <v>634</v>
      </c>
      <c r="F79" s="2" t="s">
        <v>634</v>
      </c>
      <c r="K79" s="2" t="s">
        <v>634</v>
      </c>
    </row>
    <row r="80" spans="2:21" x14ac:dyDescent="0.2">
      <c r="B80" s="2" t="s">
        <v>635</v>
      </c>
      <c r="C80" s="2" t="s">
        <v>635</v>
      </c>
      <c r="D80" s="2" t="s">
        <v>635</v>
      </c>
      <c r="E80" s="2" t="s">
        <v>635</v>
      </c>
      <c r="F80" s="2" t="s">
        <v>635</v>
      </c>
      <c r="G80" s="2" t="s">
        <v>635</v>
      </c>
      <c r="H80" s="2" t="s">
        <v>635</v>
      </c>
      <c r="I80" s="2" t="s">
        <v>635</v>
      </c>
      <c r="J80" s="2" t="s">
        <v>635</v>
      </c>
    </row>
    <row r="81" spans="2:21" x14ac:dyDescent="0.2">
      <c r="D81" s="2" t="s">
        <v>75</v>
      </c>
      <c r="F81" s="2" t="s">
        <v>75</v>
      </c>
      <c r="G81" s="2" t="s">
        <v>75</v>
      </c>
      <c r="I81" s="2" t="s">
        <v>75</v>
      </c>
      <c r="K81" s="2" t="s">
        <v>75</v>
      </c>
      <c r="L81" s="2" t="s">
        <v>75</v>
      </c>
      <c r="N81" s="2" t="s">
        <v>75</v>
      </c>
      <c r="P81" s="2" t="s">
        <v>75</v>
      </c>
    </row>
    <row r="82" spans="2:21" x14ac:dyDescent="0.2">
      <c r="F82" s="2" t="s">
        <v>127</v>
      </c>
      <c r="H82" s="2" t="s">
        <v>127</v>
      </c>
      <c r="J82" s="2" t="s">
        <v>127</v>
      </c>
      <c r="K82" s="2" t="s">
        <v>127</v>
      </c>
      <c r="P82" s="2" t="s">
        <v>127</v>
      </c>
    </row>
    <row r="83" spans="2:21" x14ac:dyDescent="0.2">
      <c r="B83" s="2" t="s">
        <v>636</v>
      </c>
      <c r="F83" s="2" t="s">
        <v>636</v>
      </c>
      <c r="G83" s="2" t="s">
        <v>636</v>
      </c>
      <c r="I83" s="2" t="s">
        <v>636</v>
      </c>
      <c r="K83" s="2" t="s">
        <v>636</v>
      </c>
      <c r="L83" s="2" t="s">
        <v>636</v>
      </c>
      <c r="N83" s="2" t="s">
        <v>636</v>
      </c>
      <c r="P83" s="2" t="s">
        <v>636</v>
      </c>
    </row>
    <row r="84" spans="2:21" x14ac:dyDescent="0.2">
      <c r="C84" s="2" t="s">
        <v>637</v>
      </c>
      <c r="F84" s="2" t="s">
        <v>637</v>
      </c>
      <c r="H84" s="2" t="s">
        <v>637</v>
      </c>
      <c r="J84" s="2" t="s">
        <v>637</v>
      </c>
      <c r="K84" s="2" t="s">
        <v>637</v>
      </c>
      <c r="M84" s="2" t="s">
        <v>637</v>
      </c>
      <c r="P84" s="2" t="s">
        <v>637</v>
      </c>
    </row>
    <row r="85" spans="2:21" x14ac:dyDescent="0.2">
      <c r="B85" s="2" t="s">
        <v>638</v>
      </c>
      <c r="C85" s="2" t="s">
        <v>638</v>
      </c>
      <c r="D85" s="2" t="s">
        <v>638</v>
      </c>
      <c r="E85" s="2" t="s">
        <v>638</v>
      </c>
      <c r="G85" s="2" t="s">
        <v>638</v>
      </c>
      <c r="H85" s="2" t="s">
        <v>638</v>
      </c>
      <c r="I85" s="2" t="s">
        <v>638</v>
      </c>
      <c r="J85" s="2" t="s">
        <v>638</v>
      </c>
      <c r="K85" s="2" t="s">
        <v>638</v>
      </c>
      <c r="L85" s="2" t="s">
        <v>638</v>
      </c>
      <c r="M85" s="2" t="s">
        <v>638</v>
      </c>
      <c r="N85" s="2" t="s">
        <v>638</v>
      </c>
      <c r="O85" s="2" t="s">
        <v>638</v>
      </c>
      <c r="P85" s="2" t="s">
        <v>638</v>
      </c>
      <c r="Q85" s="2" t="s">
        <v>638</v>
      </c>
    </row>
    <row r="86" spans="2:21" x14ac:dyDescent="0.2">
      <c r="G86" s="2" t="s">
        <v>179</v>
      </c>
      <c r="I86" s="2" t="s">
        <v>179</v>
      </c>
      <c r="K86" s="2" t="s">
        <v>179</v>
      </c>
      <c r="L86" s="2" t="s">
        <v>179</v>
      </c>
      <c r="N86" s="2" t="s">
        <v>179</v>
      </c>
      <c r="P86" s="2" t="s">
        <v>179</v>
      </c>
      <c r="Q86" s="2" t="s">
        <v>179</v>
      </c>
      <c r="S86" s="2" t="s">
        <v>179</v>
      </c>
    </row>
    <row r="87" spans="2:21" x14ac:dyDescent="0.2">
      <c r="J87" s="2" t="s">
        <v>308</v>
      </c>
      <c r="K87" s="2" t="s">
        <v>308</v>
      </c>
      <c r="M87" s="2" t="s">
        <v>308</v>
      </c>
      <c r="O87" s="2" t="s">
        <v>308</v>
      </c>
      <c r="P87" s="2" t="s">
        <v>308</v>
      </c>
      <c r="T87" s="2" t="s">
        <v>308</v>
      </c>
      <c r="U87" s="2" t="s">
        <v>308</v>
      </c>
    </row>
    <row r="88" spans="2:21" x14ac:dyDescent="0.2">
      <c r="G88" s="2" t="s">
        <v>639</v>
      </c>
      <c r="I88" s="2" t="s">
        <v>639</v>
      </c>
      <c r="K88" s="2" t="s">
        <v>639</v>
      </c>
      <c r="L88" s="2" t="s">
        <v>639</v>
      </c>
      <c r="N88" s="2" t="s">
        <v>639</v>
      </c>
      <c r="P88" s="2" t="s">
        <v>639</v>
      </c>
      <c r="Q88" s="2" t="s">
        <v>639</v>
      </c>
      <c r="S88" s="2" t="s">
        <v>639</v>
      </c>
      <c r="U88" s="2" t="s">
        <v>639</v>
      </c>
    </row>
    <row r="89" spans="2:21" x14ac:dyDescent="0.2">
      <c r="K89" s="2" t="s">
        <v>640</v>
      </c>
      <c r="M89" s="2" t="s">
        <v>640</v>
      </c>
      <c r="O89" s="2" t="s">
        <v>640</v>
      </c>
      <c r="P89" s="2" t="s">
        <v>640</v>
      </c>
      <c r="U89" s="2" t="s">
        <v>640</v>
      </c>
    </row>
    <row r="90" spans="2:21" x14ac:dyDescent="0.2">
      <c r="G90" s="2" t="s">
        <v>641</v>
      </c>
      <c r="H90" s="2" t="s">
        <v>641</v>
      </c>
      <c r="I90" s="2" t="s">
        <v>641</v>
      </c>
      <c r="J90" s="2" t="s">
        <v>641</v>
      </c>
      <c r="K90" s="2" t="s">
        <v>641</v>
      </c>
      <c r="L90" s="2" t="s">
        <v>641</v>
      </c>
      <c r="M90" s="2" t="s">
        <v>641</v>
      </c>
      <c r="N90" s="2" t="s">
        <v>641</v>
      </c>
      <c r="O90" s="2" t="s">
        <v>641</v>
      </c>
      <c r="P90" s="2" t="s">
        <v>641</v>
      </c>
      <c r="Q90" s="2" t="s">
        <v>641</v>
      </c>
      <c r="R90" s="2" t="s">
        <v>641</v>
      </c>
      <c r="S90" s="2" t="s">
        <v>641</v>
      </c>
      <c r="T90" s="2" t="s">
        <v>641</v>
      </c>
    </row>
    <row r="91" spans="2:21" x14ac:dyDescent="0.2">
      <c r="K91" s="2" t="s">
        <v>328</v>
      </c>
      <c r="L91" s="2" t="s">
        <v>328</v>
      </c>
      <c r="N91" s="2" t="s">
        <v>328</v>
      </c>
      <c r="P91" s="2" t="s">
        <v>328</v>
      </c>
      <c r="Q91" s="2" t="s">
        <v>328</v>
      </c>
      <c r="S91" s="2" t="s">
        <v>328</v>
      </c>
      <c r="U91" s="2" t="s">
        <v>328</v>
      </c>
    </row>
    <row r="92" spans="2:21" x14ac:dyDescent="0.2">
      <c r="P92" s="2" t="s">
        <v>465</v>
      </c>
      <c r="R92" s="2" t="s">
        <v>465</v>
      </c>
      <c r="T92" s="2" t="s">
        <v>465</v>
      </c>
      <c r="U92" s="2" t="s">
        <v>465</v>
      </c>
    </row>
    <row r="93" spans="2:21" x14ac:dyDescent="0.2">
      <c r="L93" s="2" t="s">
        <v>642</v>
      </c>
      <c r="N93" s="2" t="s">
        <v>642</v>
      </c>
      <c r="P93" s="2" t="s">
        <v>642</v>
      </c>
      <c r="Q93" s="2" t="s">
        <v>642</v>
      </c>
      <c r="S93" s="2" t="s">
        <v>642</v>
      </c>
      <c r="U93" s="2" t="s">
        <v>642</v>
      </c>
    </row>
    <row r="94" spans="2:21" x14ac:dyDescent="0.2">
      <c r="M94" s="2" t="s">
        <v>643</v>
      </c>
      <c r="P94" s="2" t="s">
        <v>643</v>
      </c>
      <c r="R94" s="2" t="s">
        <v>643</v>
      </c>
      <c r="T94" s="2" t="s">
        <v>643</v>
      </c>
      <c r="U94" s="2" t="s">
        <v>643</v>
      </c>
    </row>
    <row r="95" spans="2:21" x14ac:dyDescent="0.2">
      <c r="M95" s="2" t="s">
        <v>644</v>
      </c>
      <c r="N95" s="2" t="s">
        <v>644</v>
      </c>
      <c r="O95" s="2" t="s">
        <v>644</v>
      </c>
      <c r="Q95" s="2" t="s">
        <v>644</v>
      </c>
      <c r="R95" s="2" t="s">
        <v>644</v>
      </c>
      <c r="S95" s="2" t="s">
        <v>644</v>
      </c>
      <c r="T95" s="2" t="s">
        <v>644</v>
      </c>
      <c r="U95" s="2" t="s">
        <v>644</v>
      </c>
    </row>
    <row r="117" spans="3:16" x14ac:dyDescent="0.2">
      <c r="C117" s="2" t="s">
        <v>703</v>
      </c>
    </row>
    <row r="118" spans="3:16" x14ac:dyDescent="0.2">
      <c r="C118" s="2" t="s">
        <v>636</v>
      </c>
      <c r="D118" s="2" t="s">
        <v>704</v>
      </c>
      <c r="E118" s="2" t="s">
        <v>705</v>
      </c>
      <c r="F118" s="2" t="s">
        <v>706</v>
      </c>
      <c r="P118" s="2" t="s">
        <v>707</v>
      </c>
    </row>
    <row r="119" spans="3:16" x14ac:dyDescent="0.2">
      <c r="D119" s="2" t="s">
        <v>708</v>
      </c>
      <c r="E119" s="2" t="s">
        <v>705</v>
      </c>
      <c r="F119" s="2" t="s">
        <v>709</v>
      </c>
      <c r="P119" s="2" t="s">
        <v>710</v>
      </c>
    </row>
    <row r="120" spans="3:16" x14ac:dyDescent="0.2">
      <c r="P120" s="2" t="s">
        <v>711</v>
      </c>
    </row>
    <row r="121" spans="3:16" x14ac:dyDescent="0.2">
      <c r="C121" s="2" t="s">
        <v>638</v>
      </c>
      <c r="D121" s="2" t="s">
        <v>190</v>
      </c>
      <c r="E121" s="2" t="s">
        <v>705</v>
      </c>
      <c r="F121" s="2" t="s">
        <v>294</v>
      </c>
      <c r="H121" s="2" t="s">
        <v>712</v>
      </c>
      <c r="P121" s="2" t="s">
        <v>713</v>
      </c>
    </row>
    <row r="122" spans="3:16" x14ac:dyDescent="0.2">
      <c r="D122" s="2" t="s">
        <v>172</v>
      </c>
      <c r="E122" s="2" t="s">
        <v>705</v>
      </c>
      <c r="F122" s="2" t="s">
        <v>714</v>
      </c>
    </row>
    <row r="123" spans="3:16" x14ac:dyDescent="0.2">
      <c r="D123" s="2" t="s">
        <v>212</v>
      </c>
      <c r="E123" s="2" t="s">
        <v>705</v>
      </c>
      <c r="F123" s="2" t="s">
        <v>314</v>
      </c>
      <c r="H123" s="2" t="s">
        <v>715</v>
      </c>
    </row>
    <row r="125" spans="3:16" x14ac:dyDescent="0.2">
      <c r="C125" s="2" t="s">
        <v>639</v>
      </c>
      <c r="D125" s="2" t="s">
        <v>336</v>
      </c>
      <c r="E125" s="2" t="s">
        <v>705</v>
      </c>
      <c r="F125" s="2" t="s">
        <v>398</v>
      </c>
      <c r="H125" s="2" t="s">
        <v>336</v>
      </c>
      <c r="I125" s="2" t="s">
        <v>705</v>
      </c>
      <c r="J125" s="2" t="s">
        <v>398</v>
      </c>
      <c r="L125" s="2" t="s">
        <v>716</v>
      </c>
    </row>
    <row r="126" spans="3:16" x14ac:dyDescent="0.2">
      <c r="D126" s="2" t="s">
        <v>717</v>
      </c>
      <c r="E126" s="2" t="s">
        <v>705</v>
      </c>
      <c r="F126" s="2" t="s">
        <v>500</v>
      </c>
      <c r="H126" s="2" t="s">
        <v>500</v>
      </c>
      <c r="I126" s="2" t="s">
        <v>705</v>
      </c>
      <c r="J126" s="2" t="s">
        <v>329</v>
      </c>
    </row>
    <row r="127" spans="3:16" x14ac:dyDescent="0.2">
      <c r="D127" s="2" t="s">
        <v>329</v>
      </c>
      <c r="E127" s="2" t="s">
        <v>705</v>
      </c>
      <c r="F127" s="2" t="s">
        <v>344</v>
      </c>
      <c r="H127" s="2" t="s">
        <v>344</v>
      </c>
      <c r="I127" s="2" t="s">
        <v>705</v>
      </c>
      <c r="J127" s="2" t="s">
        <v>384</v>
      </c>
    </row>
    <row r="128" spans="3:16" x14ac:dyDescent="0.2">
      <c r="D128" s="2" t="s">
        <v>384</v>
      </c>
      <c r="E128" s="2" t="s">
        <v>705</v>
      </c>
      <c r="F128" s="2" t="s">
        <v>385</v>
      </c>
      <c r="H128" s="2" t="s">
        <v>718</v>
      </c>
      <c r="I128" s="2" t="s">
        <v>705</v>
      </c>
      <c r="J128" s="2" t="s">
        <v>719</v>
      </c>
      <c r="L128" s="2" t="s">
        <v>720</v>
      </c>
    </row>
    <row r="129" spans="3:8" x14ac:dyDescent="0.2">
      <c r="E129" s="2" t="s">
        <v>705</v>
      </c>
    </row>
    <row r="131" spans="3:8" x14ac:dyDescent="0.2">
      <c r="C131" s="2" t="s">
        <v>640</v>
      </c>
      <c r="D131" s="2" t="s">
        <v>446</v>
      </c>
      <c r="E131" s="2" t="s">
        <v>705</v>
      </c>
      <c r="F131" s="2" t="s">
        <v>224</v>
      </c>
    </row>
    <row r="133" spans="3:8" x14ac:dyDescent="0.2">
      <c r="C133" s="2" t="s">
        <v>641</v>
      </c>
      <c r="D133" s="2" t="s">
        <v>398</v>
      </c>
      <c r="E133" s="2" t="s">
        <v>705</v>
      </c>
      <c r="F133" s="2" t="s">
        <v>265</v>
      </c>
    </row>
    <row r="135" spans="3:8" x14ac:dyDescent="0.2">
      <c r="C135" s="2" t="s">
        <v>642</v>
      </c>
      <c r="D135" s="2" t="s">
        <v>721</v>
      </c>
      <c r="E135" s="2" t="s">
        <v>705</v>
      </c>
      <c r="F135" s="2" t="s">
        <v>385</v>
      </c>
      <c r="H135" s="2" t="s">
        <v>722</v>
      </c>
    </row>
    <row r="136" spans="3:8" x14ac:dyDescent="0.2">
      <c r="D136" s="2" t="s">
        <v>723</v>
      </c>
      <c r="E136" s="2" t="s">
        <v>705</v>
      </c>
      <c r="F136" s="2" t="s">
        <v>724</v>
      </c>
    </row>
    <row r="138" spans="3:8" x14ac:dyDescent="0.2">
      <c r="C138" s="2" t="s">
        <v>643</v>
      </c>
      <c r="D138" s="2" t="s">
        <v>725</v>
      </c>
      <c r="E138" s="2" t="s">
        <v>705</v>
      </c>
      <c r="F138" s="2" t="s">
        <v>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4"/>
  <sheetViews>
    <sheetView topLeftCell="A3" workbookViewId="0">
      <selection activeCell="E11" sqref="E11"/>
    </sheetView>
  </sheetViews>
  <sheetFormatPr baseColWidth="10" defaultColWidth="8.83203125" defaultRowHeight="16" x14ac:dyDescent="0.2"/>
  <cols>
    <col min="1" max="1" width="29.6640625" style="7" bestFit="1" customWidth="1"/>
    <col min="2" max="2" width="20.6640625" style="7" bestFit="1" customWidth="1"/>
    <col min="3" max="3" width="34.33203125" style="7" bestFit="1" customWidth="1"/>
    <col min="4" max="15" width="8.83203125" style="7" customWidth="1"/>
    <col min="16" max="16384" width="8.83203125" style="7"/>
  </cols>
  <sheetData>
    <row r="1" spans="1:3" ht="20" customHeight="1" thickBot="1" x14ac:dyDescent="0.25">
      <c r="A1" s="11" t="s">
        <v>726</v>
      </c>
      <c r="B1" s="11" t="s">
        <v>727</v>
      </c>
      <c r="C1" s="11" t="s">
        <v>728</v>
      </c>
    </row>
    <row r="2" spans="1:3" x14ac:dyDescent="0.2">
      <c r="A2" s="7" t="s">
        <v>556</v>
      </c>
      <c r="B2" s="7" t="s">
        <v>729</v>
      </c>
    </row>
    <row r="3" spans="1:3" x14ac:dyDescent="0.2">
      <c r="A3" s="7" t="s">
        <v>396</v>
      </c>
      <c r="B3" s="7" t="s">
        <v>639</v>
      </c>
    </row>
    <row r="4" spans="1:3" x14ac:dyDescent="0.2">
      <c r="A4" s="7" t="s">
        <v>217</v>
      </c>
      <c r="B4" s="7" t="s">
        <v>730</v>
      </c>
    </row>
    <row r="5" spans="1:3" x14ac:dyDescent="0.2">
      <c r="A5" s="7" t="s">
        <v>52</v>
      </c>
      <c r="B5" s="7" t="s">
        <v>731</v>
      </c>
    </row>
    <row r="6" spans="1:3" x14ac:dyDescent="0.2">
      <c r="A6" s="7" t="s">
        <v>3</v>
      </c>
      <c r="B6" s="7" t="s">
        <v>732</v>
      </c>
    </row>
    <row r="7" spans="1:3" x14ac:dyDescent="0.2">
      <c r="A7" s="7" t="s">
        <v>62</v>
      </c>
      <c r="B7" s="7" t="s">
        <v>633</v>
      </c>
    </row>
    <row r="8" spans="1:3" x14ac:dyDescent="0.2">
      <c r="A8" s="7" t="s">
        <v>177</v>
      </c>
      <c r="B8" s="7" t="s">
        <v>75</v>
      </c>
    </row>
    <row r="9" spans="1:3" x14ac:dyDescent="0.2">
      <c r="A9" s="7" t="s">
        <v>237</v>
      </c>
      <c r="B9" s="7" t="s">
        <v>636</v>
      </c>
    </row>
    <row r="10" spans="1:3" x14ac:dyDescent="0.2">
      <c r="A10" s="7" t="s">
        <v>422</v>
      </c>
      <c r="B10" s="7" t="s">
        <v>733</v>
      </c>
    </row>
    <row r="11" spans="1:3" x14ac:dyDescent="0.2">
      <c r="A11" s="7" t="s">
        <v>429</v>
      </c>
      <c r="B11" s="7" t="s">
        <v>734</v>
      </c>
    </row>
    <row r="12" spans="1:3" x14ac:dyDescent="0.2">
      <c r="A12" s="7" t="s">
        <v>36</v>
      </c>
      <c r="B12" s="7" t="s">
        <v>735</v>
      </c>
    </row>
    <row r="13" spans="1:3" x14ac:dyDescent="0.2">
      <c r="A13" s="7" t="s">
        <v>281</v>
      </c>
      <c r="B13" s="7" t="s">
        <v>736</v>
      </c>
    </row>
    <row r="14" spans="1:3" x14ac:dyDescent="0.2">
      <c r="A14" s="7" t="s">
        <v>59</v>
      </c>
      <c r="B14" s="7" t="s">
        <v>737</v>
      </c>
    </row>
    <row r="15" spans="1:3" x14ac:dyDescent="0.2">
      <c r="A15" s="7" t="s">
        <v>33</v>
      </c>
      <c r="B15" s="7" t="s">
        <v>735</v>
      </c>
    </row>
    <row r="16" spans="1:3" x14ac:dyDescent="0.2">
      <c r="A16" s="7" t="s">
        <v>6</v>
      </c>
      <c r="B16" s="7" t="s">
        <v>732</v>
      </c>
    </row>
    <row r="17" spans="1:3" x14ac:dyDescent="0.2">
      <c r="A17" s="7" t="s">
        <v>44</v>
      </c>
      <c r="B17" s="7" t="s">
        <v>738</v>
      </c>
    </row>
    <row r="18" spans="1:3" x14ac:dyDescent="0.2">
      <c r="A18" s="7" t="s">
        <v>426</v>
      </c>
      <c r="B18" s="7" t="s">
        <v>739</v>
      </c>
    </row>
    <row r="19" spans="1:3" x14ac:dyDescent="0.2">
      <c r="A19" s="7" t="s">
        <v>476</v>
      </c>
      <c r="B19" s="7" t="s">
        <v>641</v>
      </c>
    </row>
    <row r="20" spans="1:3" x14ac:dyDescent="0.2">
      <c r="A20" s="7" t="s">
        <v>255</v>
      </c>
      <c r="B20" s="7" t="s">
        <v>637</v>
      </c>
    </row>
    <row r="21" spans="1:3" x14ac:dyDescent="0.2">
      <c r="A21" s="7" t="s">
        <v>314</v>
      </c>
      <c r="B21" s="7" t="s">
        <v>740</v>
      </c>
      <c r="C21" s="7" t="s">
        <v>741</v>
      </c>
    </row>
    <row r="22" spans="1:3" x14ac:dyDescent="0.2">
      <c r="A22" s="7" t="s">
        <v>294</v>
      </c>
      <c r="B22" s="7" t="s">
        <v>736</v>
      </c>
    </row>
    <row r="23" spans="1:3" x14ac:dyDescent="0.2">
      <c r="A23" s="7" t="s">
        <v>64</v>
      </c>
      <c r="B23" s="7" t="s">
        <v>742</v>
      </c>
    </row>
    <row r="24" spans="1:3" x14ac:dyDescent="0.2">
      <c r="A24" s="7" t="s">
        <v>190</v>
      </c>
      <c r="B24" s="7" t="s">
        <v>743</v>
      </c>
    </row>
    <row r="25" spans="1:3" x14ac:dyDescent="0.2">
      <c r="A25" s="7" t="s">
        <v>443</v>
      </c>
      <c r="B25" s="7" t="s">
        <v>744</v>
      </c>
    </row>
    <row r="26" spans="1:3" x14ac:dyDescent="0.2">
      <c r="A26" s="7" t="s">
        <v>409</v>
      </c>
      <c r="B26" s="7" t="s">
        <v>745</v>
      </c>
    </row>
    <row r="27" spans="1:3" x14ac:dyDescent="0.2">
      <c r="A27" s="7" t="s">
        <v>579</v>
      </c>
      <c r="B27" s="7" t="s">
        <v>642</v>
      </c>
    </row>
    <row r="28" spans="1:3" x14ac:dyDescent="0.2">
      <c r="A28" s="7" t="s">
        <v>516</v>
      </c>
      <c r="B28" s="7" t="s">
        <v>746</v>
      </c>
    </row>
    <row r="29" spans="1:3" x14ac:dyDescent="0.2">
      <c r="A29" s="7" t="s">
        <v>17</v>
      </c>
      <c r="B29" s="7" t="s">
        <v>732</v>
      </c>
    </row>
    <row r="30" spans="1:3" x14ac:dyDescent="0.2">
      <c r="A30" s="7" t="s">
        <v>392</v>
      </c>
      <c r="B30" s="7" t="s">
        <v>747</v>
      </c>
    </row>
    <row r="31" spans="1:3" x14ac:dyDescent="0.2">
      <c r="A31" s="7" t="s">
        <v>168</v>
      </c>
      <c r="B31" s="7" t="s">
        <v>730</v>
      </c>
    </row>
    <row r="32" spans="1:3" x14ac:dyDescent="0.2">
      <c r="A32" s="7" t="s">
        <v>365</v>
      </c>
      <c r="B32" s="7" t="s">
        <v>748</v>
      </c>
    </row>
    <row r="33" spans="1:3" x14ac:dyDescent="0.2">
      <c r="A33" s="7" t="s">
        <v>219</v>
      </c>
      <c r="B33" s="7" t="s">
        <v>75</v>
      </c>
    </row>
    <row r="34" spans="1:3" x14ac:dyDescent="0.2">
      <c r="A34" s="7" t="s">
        <v>371</v>
      </c>
      <c r="B34" s="7" t="s">
        <v>749</v>
      </c>
    </row>
    <row r="35" spans="1:3" x14ac:dyDescent="0.2">
      <c r="A35" s="7" t="s">
        <v>265</v>
      </c>
      <c r="B35" s="7" t="s">
        <v>750</v>
      </c>
      <c r="C35" t="s">
        <v>751</v>
      </c>
    </row>
    <row r="36" spans="1:3" x14ac:dyDescent="0.2">
      <c r="A36" s="7" t="s">
        <v>573</v>
      </c>
      <c r="B36" s="7" t="s">
        <v>642</v>
      </c>
    </row>
    <row r="37" spans="1:3" x14ac:dyDescent="0.2">
      <c r="A37" s="7" t="s">
        <v>388</v>
      </c>
      <c r="B37" s="7" t="s">
        <v>639</v>
      </c>
    </row>
    <row r="38" spans="1:3" x14ac:dyDescent="0.2">
      <c r="A38" s="7" t="s">
        <v>609</v>
      </c>
      <c r="B38" s="7" t="s">
        <v>752</v>
      </c>
    </row>
    <row r="39" spans="1:3" x14ac:dyDescent="0.2">
      <c r="A39" s="7" t="s">
        <v>509</v>
      </c>
      <c r="B39" s="7" t="s">
        <v>753</v>
      </c>
    </row>
    <row r="40" spans="1:3" x14ac:dyDescent="0.2">
      <c r="A40" s="7" t="s">
        <v>289</v>
      </c>
      <c r="B40" s="7" t="s">
        <v>638</v>
      </c>
    </row>
    <row r="41" spans="1:3" x14ac:dyDescent="0.2">
      <c r="A41" s="7" t="s">
        <v>88</v>
      </c>
      <c r="B41" s="7" t="s">
        <v>742</v>
      </c>
    </row>
    <row r="42" spans="1:3" x14ac:dyDescent="0.2">
      <c r="A42" s="7" t="s">
        <v>182</v>
      </c>
      <c r="B42" s="7" t="s">
        <v>754</v>
      </c>
    </row>
    <row r="43" spans="1:3" x14ac:dyDescent="0.2">
      <c r="A43" s="7" t="s">
        <v>193</v>
      </c>
      <c r="B43" s="7" t="s">
        <v>75</v>
      </c>
    </row>
    <row r="44" spans="1:3" x14ac:dyDescent="0.2">
      <c r="A44" s="7" t="s">
        <v>19</v>
      </c>
      <c r="B44" s="7" t="s">
        <v>732</v>
      </c>
    </row>
    <row r="45" spans="1:3" x14ac:dyDescent="0.2">
      <c r="A45" s="7" t="s">
        <v>617</v>
      </c>
      <c r="B45" s="7" t="s">
        <v>755</v>
      </c>
    </row>
    <row r="46" spans="1:3" x14ac:dyDescent="0.2">
      <c r="A46" s="7" t="s">
        <v>527</v>
      </c>
      <c r="B46" s="7" t="s">
        <v>753</v>
      </c>
    </row>
    <row r="47" spans="1:3" x14ac:dyDescent="0.2">
      <c r="A47" s="7" t="s">
        <v>100</v>
      </c>
      <c r="B47" s="7" t="s">
        <v>732</v>
      </c>
    </row>
    <row r="48" spans="1:3" x14ac:dyDescent="0.2">
      <c r="A48" s="7" t="s">
        <v>268</v>
      </c>
      <c r="B48" s="7" t="s">
        <v>756</v>
      </c>
      <c r="C48" t="s">
        <v>757</v>
      </c>
    </row>
    <row r="49" spans="1:2" x14ac:dyDescent="0.2">
      <c r="A49" s="7" t="s">
        <v>345</v>
      </c>
      <c r="B49" s="7" t="s">
        <v>745</v>
      </c>
    </row>
    <row r="50" spans="1:2" x14ac:dyDescent="0.2">
      <c r="A50" s="7" t="s">
        <v>485</v>
      </c>
      <c r="B50" s="7" t="s">
        <v>758</v>
      </c>
    </row>
    <row r="51" spans="1:2" x14ac:dyDescent="0.2">
      <c r="A51" s="7" t="s">
        <v>275</v>
      </c>
      <c r="B51" s="7" t="s">
        <v>759</v>
      </c>
    </row>
    <row r="52" spans="1:2" x14ac:dyDescent="0.2">
      <c r="A52" s="7" t="s">
        <v>558</v>
      </c>
      <c r="B52" s="7" t="s">
        <v>465</v>
      </c>
    </row>
    <row r="53" spans="1:2" x14ac:dyDescent="0.2">
      <c r="A53" s="7" t="s">
        <v>115</v>
      </c>
      <c r="B53" s="7" t="s">
        <v>731</v>
      </c>
    </row>
    <row r="54" spans="1:2" x14ac:dyDescent="0.2">
      <c r="A54" s="7" t="s">
        <v>170</v>
      </c>
      <c r="B54" s="7" t="s">
        <v>730</v>
      </c>
    </row>
    <row r="55" spans="1:2" x14ac:dyDescent="0.2">
      <c r="A55" s="7" t="s">
        <v>26</v>
      </c>
      <c r="B55" s="7" t="s">
        <v>737</v>
      </c>
    </row>
    <row r="56" spans="1:2" x14ac:dyDescent="0.2">
      <c r="A56" s="7" t="s">
        <v>311</v>
      </c>
      <c r="B56" s="7" t="s">
        <v>760</v>
      </c>
    </row>
    <row r="57" spans="1:2" x14ac:dyDescent="0.2">
      <c r="A57" s="7" t="s">
        <v>227</v>
      </c>
      <c r="B57" s="7" t="s">
        <v>759</v>
      </c>
    </row>
    <row r="58" spans="1:2" x14ac:dyDescent="0.2">
      <c r="A58" s="7" t="s">
        <v>373</v>
      </c>
      <c r="B58" s="7" t="s">
        <v>761</v>
      </c>
    </row>
    <row r="59" spans="1:2" x14ac:dyDescent="0.2">
      <c r="A59" s="7" t="s">
        <v>471</v>
      </c>
      <c r="B59" s="7" t="s">
        <v>762</v>
      </c>
    </row>
    <row r="60" spans="1:2" x14ac:dyDescent="0.2">
      <c r="A60" s="7" t="s">
        <v>157</v>
      </c>
      <c r="B60" s="7" t="s">
        <v>763</v>
      </c>
    </row>
    <row r="61" spans="1:2" x14ac:dyDescent="0.2">
      <c r="A61" s="7" t="s">
        <v>448</v>
      </c>
      <c r="B61" s="7" t="s">
        <v>762</v>
      </c>
    </row>
    <row r="62" spans="1:2" x14ac:dyDescent="0.2">
      <c r="A62" s="7" t="s">
        <v>131</v>
      </c>
      <c r="B62" s="7" t="s">
        <v>764</v>
      </c>
    </row>
    <row r="63" spans="1:2" x14ac:dyDescent="0.2">
      <c r="A63" s="7" t="s">
        <v>347</v>
      </c>
      <c r="B63" s="7" t="s">
        <v>745</v>
      </c>
    </row>
    <row r="64" spans="1:2" x14ac:dyDescent="0.2">
      <c r="A64" s="7" t="s">
        <v>575</v>
      </c>
      <c r="B64" s="7" t="s">
        <v>765</v>
      </c>
    </row>
    <row r="65" spans="1:2" x14ac:dyDescent="0.2">
      <c r="A65" s="7" t="s">
        <v>166</v>
      </c>
      <c r="B65" s="7" t="s">
        <v>754</v>
      </c>
    </row>
    <row r="66" spans="1:2" x14ac:dyDescent="0.2">
      <c r="A66" s="7" t="s">
        <v>507</v>
      </c>
      <c r="B66" s="7" t="s">
        <v>328</v>
      </c>
    </row>
    <row r="67" spans="1:2" x14ac:dyDescent="0.2">
      <c r="A67" s="7" t="s">
        <v>390</v>
      </c>
      <c r="B67" s="7" t="s">
        <v>639</v>
      </c>
    </row>
    <row r="68" spans="1:2" x14ac:dyDescent="0.2">
      <c r="A68" s="7" t="s">
        <v>139</v>
      </c>
      <c r="B68" s="7" t="s">
        <v>766</v>
      </c>
    </row>
    <row r="69" spans="1:2" x14ac:dyDescent="0.2">
      <c r="A69" s="7" t="s">
        <v>229</v>
      </c>
      <c r="B69" s="7" t="s">
        <v>767</v>
      </c>
    </row>
    <row r="70" spans="1:2" x14ac:dyDescent="0.2">
      <c r="A70" s="7" t="s">
        <v>22</v>
      </c>
      <c r="B70" s="7" t="s">
        <v>732</v>
      </c>
    </row>
    <row r="71" spans="1:2" x14ac:dyDescent="0.2">
      <c r="A71" s="7" t="s">
        <v>299</v>
      </c>
      <c r="B71" s="7" t="s">
        <v>768</v>
      </c>
    </row>
    <row r="72" spans="1:2" x14ac:dyDescent="0.2">
      <c r="A72" s="7" t="s">
        <v>571</v>
      </c>
      <c r="B72" s="7" t="s">
        <v>642</v>
      </c>
    </row>
    <row r="73" spans="1:2" x14ac:dyDescent="0.2">
      <c r="A73" s="7" t="s">
        <v>474</v>
      </c>
      <c r="B73" s="7" t="s">
        <v>641</v>
      </c>
    </row>
    <row r="74" spans="1:2" x14ac:dyDescent="0.2">
      <c r="A74" s="7" t="s">
        <v>68</v>
      </c>
      <c r="B74" s="7" t="s">
        <v>633</v>
      </c>
    </row>
    <row r="75" spans="1:2" x14ac:dyDescent="0.2">
      <c r="A75" s="7" t="s">
        <v>148</v>
      </c>
      <c r="B75" s="7" t="s">
        <v>731</v>
      </c>
    </row>
    <row r="76" spans="1:2" x14ac:dyDescent="0.2">
      <c r="A76" s="7" t="s">
        <v>464</v>
      </c>
      <c r="B76" s="7" t="s">
        <v>769</v>
      </c>
    </row>
    <row r="77" spans="1:2" x14ac:dyDescent="0.2">
      <c r="A77" s="7" t="s">
        <v>12</v>
      </c>
      <c r="B77" s="7" t="s">
        <v>732</v>
      </c>
    </row>
    <row r="78" spans="1:2" x14ac:dyDescent="0.2">
      <c r="A78" s="7" t="s">
        <v>73</v>
      </c>
      <c r="B78" s="7" t="s">
        <v>770</v>
      </c>
    </row>
    <row r="79" spans="1:2" x14ac:dyDescent="0.2">
      <c r="A79" s="7" t="s">
        <v>525</v>
      </c>
      <c r="B79" s="7" t="s">
        <v>328</v>
      </c>
    </row>
    <row r="80" spans="1:2" x14ac:dyDescent="0.2">
      <c r="A80" s="7" t="s">
        <v>214</v>
      </c>
      <c r="B80" s="7" t="s">
        <v>771</v>
      </c>
    </row>
    <row r="81" spans="1:3" x14ac:dyDescent="0.2">
      <c r="A81" s="7" t="s">
        <v>505</v>
      </c>
      <c r="B81" s="7" t="s">
        <v>753</v>
      </c>
    </row>
    <row r="82" spans="1:3" x14ac:dyDescent="0.2">
      <c r="A82" s="7" t="s">
        <v>196</v>
      </c>
      <c r="B82" s="7" t="s">
        <v>75</v>
      </c>
    </row>
    <row r="83" spans="1:3" x14ac:dyDescent="0.2">
      <c r="A83" s="7" t="s">
        <v>537</v>
      </c>
      <c r="B83" s="7" t="s">
        <v>746</v>
      </c>
    </row>
    <row r="84" spans="1:3" x14ac:dyDescent="0.2">
      <c r="A84" s="7" t="s">
        <v>212</v>
      </c>
      <c r="B84" s="7" t="s">
        <v>771</v>
      </c>
    </row>
    <row r="85" spans="1:3" x14ac:dyDescent="0.2">
      <c r="A85" s="7" t="s">
        <v>250</v>
      </c>
      <c r="B85" s="7" t="s">
        <v>636</v>
      </c>
    </row>
    <row r="86" spans="1:3" x14ac:dyDescent="0.2">
      <c r="A86" s="7" t="s">
        <v>329</v>
      </c>
      <c r="B86" s="7" t="s">
        <v>745</v>
      </c>
    </row>
    <row r="87" spans="1:3" x14ac:dyDescent="0.2">
      <c r="A87" s="7" t="s">
        <v>597</v>
      </c>
      <c r="B87" s="7" t="s">
        <v>642</v>
      </c>
    </row>
    <row r="88" spans="1:3" x14ac:dyDescent="0.2">
      <c r="A88" s="7" t="s">
        <v>154</v>
      </c>
      <c r="B88" s="7" t="s">
        <v>772</v>
      </c>
    </row>
    <row r="89" spans="1:3" x14ac:dyDescent="0.2">
      <c r="A89" s="7" t="s">
        <v>172</v>
      </c>
      <c r="B89" s="7" t="s">
        <v>771</v>
      </c>
    </row>
    <row r="90" spans="1:3" x14ac:dyDescent="0.2">
      <c r="A90" s="7" t="s">
        <v>351</v>
      </c>
      <c r="B90" s="7" t="s">
        <v>745</v>
      </c>
    </row>
    <row r="91" spans="1:3" x14ac:dyDescent="0.2">
      <c r="A91" s="7" t="s">
        <v>398</v>
      </c>
      <c r="B91" s="7" t="s">
        <v>773</v>
      </c>
    </row>
    <row r="92" spans="1:3" x14ac:dyDescent="0.2">
      <c r="A92" s="7" t="s">
        <v>588</v>
      </c>
      <c r="B92" s="7" t="s">
        <v>642</v>
      </c>
    </row>
    <row r="93" spans="1:3" x14ac:dyDescent="0.2">
      <c r="A93" s="7" t="s">
        <v>126</v>
      </c>
      <c r="B93" s="7" t="s">
        <v>764</v>
      </c>
      <c r="C93" t="s">
        <v>774</v>
      </c>
    </row>
    <row r="94" spans="1:3" x14ac:dyDescent="0.2">
      <c r="A94" s="7" t="s">
        <v>120</v>
      </c>
      <c r="B94" s="7" t="s">
        <v>766</v>
      </c>
    </row>
    <row r="95" spans="1:3" x14ac:dyDescent="0.2">
      <c r="A95" s="7" t="s">
        <v>160</v>
      </c>
      <c r="B95" s="7" t="s">
        <v>742</v>
      </c>
    </row>
    <row r="96" spans="1:3" x14ac:dyDescent="0.2">
      <c r="A96" s="7" t="s">
        <v>336</v>
      </c>
      <c r="B96" s="7" t="s">
        <v>745</v>
      </c>
    </row>
    <row r="97" spans="1:3" x14ac:dyDescent="0.2">
      <c r="A97" s="7" t="s">
        <v>194</v>
      </c>
      <c r="B97" s="7" t="s">
        <v>754</v>
      </c>
    </row>
    <row r="98" spans="1:3" x14ac:dyDescent="0.2">
      <c r="A98" s="7" t="s">
        <v>262</v>
      </c>
      <c r="B98" s="7" t="s">
        <v>736</v>
      </c>
    </row>
    <row r="99" spans="1:3" x14ac:dyDescent="0.2">
      <c r="A99" s="7" t="s">
        <v>361</v>
      </c>
      <c r="B99" s="7" t="s">
        <v>775</v>
      </c>
    </row>
    <row r="100" spans="1:3" x14ac:dyDescent="0.2">
      <c r="A100" s="7" t="s">
        <v>327</v>
      </c>
      <c r="B100" s="7" t="s">
        <v>776</v>
      </c>
      <c r="C100" t="s">
        <v>777</v>
      </c>
    </row>
    <row r="101" spans="1:3" x14ac:dyDescent="0.2">
      <c r="A101" s="7" t="s">
        <v>199</v>
      </c>
      <c r="B101" s="7" t="s">
        <v>778</v>
      </c>
    </row>
    <row r="102" spans="1:3" x14ac:dyDescent="0.2">
      <c r="A102" s="7" t="s">
        <v>243</v>
      </c>
      <c r="B102" s="7" t="s">
        <v>636</v>
      </c>
    </row>
    <row r="103" spans="1:3" x14ac:dyDescent="0.2">
      <c r="A103" s="7" t="s">
        <v>411</v>
      </c>
      <c r="B103" s="7" t="s">
        <v>747</v>
      </c>
    </row>
    <row r="104" spans="1:3" x14ac:dyDescent="0.2">
      <c r="A104" s="7" t="s">
        <v>395</v>
      </c>
      <c r="B104" s="7" t="s">
        <v>745</v>
      </c>
    </row>
    <row r="105" spans="1:3" x14ac:dyDescent="0.2">
      <c r="A105" s="7" t="s">
        <v>344</v>
      </c>
      <c r="B105" s="7" t="s">
        <v>745</v>
      </c>
    </row>
    <row r="106" spans="1:3" x14ac:dyDescent="0.2">
      <c r="A106" s="7" t="s">
        <v>356</v>
      </c>
      <c r="B106" s="7" t="s">
        <v>775</v>
      </c>
    </row>
    <row r="107" spans="1:3" x14ac:dyDescent="0.2">
      <c r="A107" s="7" t="s">
        <v>337</v>
      </c>
      <c r="B107" s="7" t="s">
        <v>779</v>
      </c>
    </row>
    <row r="108" spans="1:3" x14ac:dyDescent="0.2">
      <c r="A108" s="7" t="s">
        <v>188</v>
      </c>
      <c r="B108" s="7" t="s">
        <v>754</v>
      </c>
    </row>
    <row r="109" spans="1:3" x14ac:dyDescent="0.2">
      <c r="A109" s="7" t="s">
        <v>224</v>
      </c>
      <c r="B109" s="7" t="s">
        <v>780</v>
      </c>
      <c r="C109" t="s">
        <v>781</v>
      </c>
    </row>
    <row r="110" spans="1:3" x14ac:dyDescent="0.2">
      <c r="A110" s="7" t="s">
        <v>260</v>
      </c>
      <c r="B110" s="7" t="s">
        <v>637</v>
      </c>
    </row>
    <row r="111" spans="1:3" x14ac:dyDescent="0.2">
      <c r="A111" s="7" t="s">
        <v>91</v>
      </c>
      <c r="B111" s="7" t="s">
        <v>782</v>
      </c>
    </row>
    <row r="112" spans="1:3" x14ac:dyDescent="0.2">
      <c r="A112" s="7" t="s">
        <v>334</v>
      </c>
      <c r="B112" s="7" t="s">
        <v>776</v>
      </c>
    </row>
    <row r="113" spans="1:3" x14ac:dyDescent="0.2">
      <c r="A113" s="7" t="s">
        <v>458</v>
      </c>
      <c r="B113" s="7" t="s">
        <v>783</v>
      </c>
    </row>
    <row r="114" spans="1:3" x14ac:dyDescent="0.2">
      <c r="A114" s="7" t="s">
        <v>332</v>
      </c>
      <c r="B114" s="7" t="s">
        <v>179</v>
      </c>
    </row>
    <row r="115" spans="1:3" x14ac:dyDescent="0.2">
      <c r="A115" s="7" t="s">
        <v>11</v>
      </c>
      <c r="B115" s="7" t="s">
        <v>4</v>
      </c>
    </row>
    <row r="116" spans="1:3" x14ac:dyDescent="0.2">
      <c r="A116" s="7" t="s">
        <v>82</v>
      </c>
      <c r="B116" s="7" t="s">
        <v>770</v>
      </c>
    </row>
    <row r="117" spans="1:3" x14ac:dyDescent="0.2">
      <c r="A117" s="7" t="s">
        <v>418</v>
      </c>
      <c r="B117" s="7" t="s">
        <v>745</v>
      </c>
    </row>
    <row r="118" spans="1:3" x14ac:dyDescent="0.2">
      <c r="A118" s="7" t="s">
        <v>284</v>
      </c>
      <c r="B118" s="7" t="s">
        <v>784</v>
      </c>
      <c r="C118" t="s">
        <v>785</v>
      </c>
    </row>
    <row r="119" spans="1:3" x14ac:dyDescent="0.2">
      <c r="A119" s="7" t="s">
        <v>239</v>
      </c>
      <c r="B119" s="7" t="s">
        <v>636</v>
      </c>
    </row>
    <row r="120" spans="1:3" x14ac:dyDescent="0.2">
      <c r="A120" s="7" t="s">
        <v>563</v>
      </c>
      <c r="B120" s="7" t="s">
        <v>642</v>
      </c>
    </row>
    <row r="121" spans="1:3" x14ac:dyDescent="0.2">
      <c r="A121" s="7" t="s">
        <v>223</v>
      </c>
      <c r="B121" s="7" t="s">
        <v>127</v>
      </c>
    </row>
    <row r="122" spans="1:3" x14ac:dyDescent="0.2">
      <c r="A122" s="7" t="s">
        <v>367</v>
      </c>
      <c r="B122" s="7" t="s">
        <v>786</v>
      </c>
      <c r="C122" t="s">
        <v>787</v>
      </c>
    </row>
    <row r="123" spans="1:3" x14ac:dyDescent="0.2">
      <c r="A123" s="7" t="s">
        <v>21</v>
      </c>
      <c r="B123" s="7" t="s">
        <v>4</v>
      </c>
    </row>
    <row r="124" spans="1:3" x14ac:dyDescent="0.2">
      <c r="A124" s="7" t="s">
        <v>508</v>
      </c>
      <c r="B124" s="7" t="s">
        <v>328</v>
      </c>
    </row>
    <row r="125" spans="1:3" x14ac:dyDescent="0.2">
      <c r="A125" s="7" t="s">
        <v>569</v>
      </c>
      <c r="B125" s="7" t="s">
        <v>642</v>
      </c>
    </row>
    <row r="126" spans="1:3" x14ac:dyDescent="0.2">
      <c r="A126" s="7" t="s">
        <v>331</v>
      </c>
      <c r="B126" s="7" t="s">
        <v>179</v>
      </c>
    </row>
    <row r="127" spans="1:3" x14ac:dyDescent="0.2">
      <c r="A127" s="7" t="s">
        <v>220</v>
      </c>
      <c r="B127" s="7" t="s">
        <v>788</v>
      </c>
    </row>
    <row r="128" spans="1:3" x14ac:dyDescent="0.2">
      <c r="A128" s="7" t="s">
        <v>205</v>
      </c>
      <c r="B128" s="7" t="s">
        <v>771</v>
      </c>
      <c r="C128" t="s">
        <v>789</v>
      </c>
    </row>
    <row r="129" spans="1:3" x14ac:dyDescent="0.2">
      <c r="A129" s="7" t="s">
        <v>109</v>
      </c>
      <c r="B129" s="7" t="s">
        <v>766</v>
      </c>
    </row>
    <row r="130" spans="1:3" x14ac:dyDescent="0.2">
      <c r="A130" s="7" t="s">
        <v>178</v>
      </c>
      <c r="B130" s="7" t="s">
        <v>790</v>
      </c>
      <c r="C130" t="s">
        <v>791</v>
      </c>
    </row>
    <row r="131" spans="1:3" x14ac:dyDescent="0.2">
      <c r="A131" s="7" t="s">
        <v>540</v>
      </c>
      <c r="B131" s="7" t="s">
        <v>792</v>
      </c>
    </row>
    <row r="132" spans="1:3" x14ac:dyDescent="0.2">
      <c r="A132" s="7" t="s">
        <v>112</v>
      </c>
      <c r="B132" s="7" t="s">
        <v>766</v>
      </c>
    </row>
    <row r="133" spans="1:3" x14ac:dyDescent="0.2">
      <c r="A133" s="7" t="s">
        <v>123</v>
      </c>
      <c r="B133" s="7" t="s">
        <v>766</v>
      </c>
    </row>
    <row r="134" spans="1:3" x14ac:dyDescent="0.2">
      <c r="A134" s="7" t="s">
        <v>628</v>
      </c>
      <c r="B134" s="7" t="s">
        <v>644</v>
      </c>
    </row>
    <row r="135" spans="1:3" x14ac:dyDescent="0.2">
      <c r="A135" s="7" t="s">
        <v>145</v>
      </c>
      <c r="B135" s="7" t="s">
        <v>772</v>
      </c>
    </row>
    <row r="136" spans="1:3" x14ac:dyDescent="0.2">
      <c r="A136" s="7" t="s">
        <v>319</v>
      </c>
      <c r="B136" s="7" t="s">
        <v>793</v>
      </c>
    </row>
    <row r="137" spans="1:3" x14ac:dyDescent="0.2">
      <c r="A137" s="7" t="s">
        <v>585</v>
      </c>
      <c r="B137" s="7" t="s">
        <v>746</v>
      </c>
    </row>
    <row r="138" spans="1:3" x14ac:dyDescent="0.2">
      <c r="A138" s="7" t="s">
        <v>202</v>
      </c>
      <c r="B138" s="7" t="s">
        <v>75</v>
      </c>
    </row>
    <row r="139" spans="1:3" x14ac:dyDescent="0.2">
      <c r="A139" s="7" t="s">
        <v>451</v>
      </c>
      <c r="B139" s="7" t="s">
        <v>794</v>
      </c>
    </row>
    <row r="140" spans="1:3" x14ac:dyDescent="0.2">
      <c r="A140" s="7" t="s">
        <v>151</v>
      </c>
      <c r="B140" s="7" t="s">
        <v>795</v>
      </c>
      <c r="C140" t="s">
        <v>796</v>
      </c>
    </row>
    <row r="141" spans="1:3" x14ac:dyDescent="0.2">
      <c r="A141" s="7" t="s">
        <v>511</v>
      </c>
      <c r="B141" s="7" t="s">
        <v>328</v>
      </c>
    </row>
    <row r="142" spans="1:3" x14ac:dyDescent="0.2">
      <c r="A142" s="7" t="s">
        <v>625</v>
      </c>
      <c r="B142" s="7" t="s">
        <v>797</v>
      </c>
    </row>
    <row r="143" spans="1:3" x14ac:dyDescent="0.2">
      <c r="A143" s="7" t="s">
        <v>546</v>
      </c>
      <c r="B143" s="7" t="s">
        <v>755</v>
      </c>
    </row>
    <row r="144" spans="1:3" x14ac:dyDescent="0.2">
      <c r="A144" s="7" t="s">
        <v>512</v>
      </c>
      <c r="B144" s="7" t="s">
        <v>753</v>
      </c>
    </row>
    <row r="145" spans="1:3" x14ac:dyDescent="0.2">
      <c r="A145" s="7" t="s">
        <v>343</v>
      </c>
      <c r="B145" s="7" t="s">
        <v>179</v>
      </c>
    </row>
    <row r="146" spans="1:3" x14ac:dyDescent="0.2">
      <c r="A146" s="7" t="s">
        <v>272</v>
      </c>
      <c r="B146" s="7" t="s">
        <v>767</v>
      </c>
    </row>
    <row r="147" spans="1:3" x14ac:dyDescent="0.2">
      <c r="A147" s="7" t="s">
        <v>552</v>
      </c>
      <c r="B147" s="7" t="s">
        <v>755</v>
      </c>
    </row>
    <row r="148" spans="1:3" x14ac:dyDescent="0.2">
      <c r="A148" s="7" t="s">
        <v>590</v>
      </c>
      <c r="B148" s="7" t="s">
        <v>753</v>
      </c>
    </row>
    <row r="149" spans="1:3" x14ac:dyDescent="0.2">
      <c r="A149" s="7" t="s">
        <v>197</v>
      </c>
      <c r="B149" s="7" t="s">
        <v>730</v>
      </c>
    </row>
    <row r="150" spans="1:3" x14ac:dyDescent="0.2">
      <c r="A150" s="7" t="s">
        <v>94</v>
      </c>
      <c r="B150" s="7" t="s">
        <v>798</v>
      </c>
    </row>
    <row r="151" spans="1:3" x14ac:dyDescent="0.2">
      <c r="A151" s="7" t="s">
        <v>599</v>
      </c>
      <c r="B151" s="7" t="s">
        <v>799</v>
      </c>
    </row>
    <row r="152" spans="1:3" x14ac:dyDescent="0.2">
      <c r="A152" s="7" t="s">
        <v>581</v>
      </c>
      <c r="B152" s="7" t="s">
        <v>753</v>
      </c>
    </row>
    <row r="153" spans="1:3" x14ac:dyDescent="0.2">
      <c r="A153" s="7" t="s">
        <v>488</v>
      </c>
      <c r="B153" s="7" t="s">
        <v>769</v>
      </c>
    </row>
    <row r="154" spans="1:3" x14ac:dyDescent="0.2">
      <c r="A154" s="7" t="s">
        <v>248</v>
      </c>
      <c r="B154" s="7" t="s">
        <v>636</v>
      </c>
    </row>
    <row r="155" spans="1:3" x14ac:dyDescent="0.2">
      <c r="A155" s="7" t="s">
        <v>497</v>
      </c>
      <c r="B155" s="7" t="s">
        <v>762</v>
      </c>
    </row>
    <row r="156" spans="1:3" x14ac:dyDescent="0.2">
      <c r="A156" s="7" t="s">
        <v>307</v>
      </c>
      <c r="B156" s="7" t="s">
        <v>800</v>
      </c>
      <c r="C156" t="s">
        <v>801</v>
      </c>
    </row>
    <row r="157" spans="1:3" x14ac:dyDescent="0.2">
      <c r="A157" s="7" t="s">
        <v>446</v>
      </c>
      <c r="B157" s="7" t="s">
        <v>762</v>
      </c>
    </row>
    <row r="158" spans="1:3" x14ac:dyDescent="0.2">
      <c r="A158" s="7" t="s">
        <v>323</v>
      </c>
      <c r="B158" s="7" t="s">
        <v>793</v>
      </c>
    </row>
    <row r="159" spans="1:3" x14ac:dyDescent="0.2">
      <c r="A159" s="7" t="s">
        <v>85</v>
      </c>
      <c r="B159" s="7" t="s">
        <v>742</v>
      </c>
    </row>
    <row r="160" spans="1:3" x14ac:dyDescent="0.2">
      <c r="A160" s="7" t="s">
        <v>142</v>
      </c>
      <c r="B160" s="7" t="s">
        <v>772</v>
      </c>
    </row>
    <row r="161" spans="1:3" x14ac:dyDescent="0.2">
      <c r="A161" s="7" t="s">
        <v>192</v>
      </c>
      <c r="B161" s="7" t="s">
        <v>75</v>
      </c>
    </row>
    <row r="162" spans="1:3" x14ac:dyDescent="0.2">
      <c r="A162" s="7" t="s">
        <v>209</v>
      </c>
      <c r="B162" s="7" t="s">
        <v>771</v>
      </c>
    </row>
    <row r="163" spans="1:3" x14ac:dyDescent="0.2">
      <c r="A163" s="7" t="s">
        <v>80</v>
      </c>
      <c r="B163" s="7" t="s">
        <v>633</v>
      </c>
    </row>
    <row r="164" spans="1:3" x14ac:dyDescent="0.2">
      <c r="A164" s="7" t="s">
        <v>208</v>
      </c>
      <c r="B164" s="7" t="s">
        <v>75</v>
      </c>
    </row>
    <row r="165" spans="1:3" x14ac:dyDescent="0.2">
      <c r="A165" s="7" t="s">
        <v>376</v>
      </c>
      <c r="B165" s="7" t="s">
        <v>802</v>
      </c>
      <c r="C165" t="s">
        <v>803</v>
      </c>
    </row>
    <row r="166" spans="1:3" x14ac:dyDescent="0.2">
      <c r="A166" s="7" t="s">
        <v>46</v>
      </c>
      <c r="B166" s="7" t="s">
        <v>731</v>
      </c>
    </row>
    <row r="167" spans="1:3" x14ac:dyDescent="0.2">
      <c r="A167" s="7" t="s">
        <v>519</v>
      </c>
      <c r="B167" s="7" t="s">
        <v>753</v>
      </c>
    </row>
    <row r="168" spans="1:3" x14ac:dyDescent="0.2">
      <c r="A168" s="7" t="s">
        <v>14</v>
      </c>
      <c r="B168" s="7" t="s">
        <v>804</v>
      </c>
      <c r="C168" t="s">
        <v>805</v>
      </c>
    </row>
    <row r="169" spans="1:3" x14ac:dyDescent="0.2">
      <c r="A169" s="7" t="s">
        <v>175</v>
      </c>
      <c r="B169" s="7" t="s">
        <v>730</v>
      </c>
    </row>
    <row r="170" spans="1:3" x14ac:dyDescent="0.2">
      <c r="A170" s="7" t="s">
        <v>612</v>
      </c>
      <c r="B170" s="7" t="s">
        <v>643</v>
      </c>
    </row>
    <row r="171" spans="1:3" x14ac:dyDescent="0.2">
      <c r="A171" s="7" t="s">
        <v>592</v>
      </c>
      <c r="B171" s="7" t="s">
        <v>642</v>
      </c>
    </row>
    <row r="172" spans="1:3" x14ac:dyDescent="0.2">
      <c r="A172" s="7" t="s">
        <v>514</v>
      </c>
      <c r="B172" s="7" t="s">
        <v>753</v>
      </c>
    </row>
    <row r="173" spans="1:3" x14ac:dyDescent="0.2">
      <c r="A173" s="7" t="s">
        <v>49</v>
      </c>
      <c r="B173" s="7" t="s">
        <v>731</v>
      </c>
    </row>
    <row r="174" spans="1:3" x14ac:dyDescent="0.2">
      <c r="A174" s="7" t="s">
        <v>379</v>
      </c>
      <c r="B174" s="7" t="s">
        <v>748</v>
      </c>
    </row>
    <row r="175" spans="1:3" x14ac:dyDescent="0.2">
      <c r="A175" s="7" t="s">
        <v>185</v>
      </c>
      <c r="B175" s="7" t="s">
        <v>806</v>
      </c>
    </row>
    <row r="176" spans="1:3" x14ac:dyDescent="0.2">
      <c r="A176" s="7" t="s">
        <v>549</v>
      </c>
      <c r="B176" s="7" t="s">
        <v>755</v>
      </c>
    </row>
    <row r="177" spans="1:2" x14ac:dyDescent="0.2">
      <c r="A177" s="7" t="s">
        <v>381</v>
      </c>
      <c r="B177" s="7" t="s">
        <v>807</v>
      </c>
    </row>
    <row r="178" spans="1:2" x14ac:dyDescent="0.2">
      <c r="A178" s="7" t="s">
        <v>106</v>
      </c>
      <c r="B178" s="7" t="s">
        <v>731</v>
      </c>
    </row>
    <row r="179" spans="1:2" x14ac:dyDescent="0.2">
      <c r="A179" s="7" t="s">
        <v>384</v>
      </c>
      <c r="B179" s="7" t="s">
        <v>808</v>
      </c>
    </row>
    <row r="180" spans="1:2" x14ac:dyDescent="0.2">
      <c r="A180" s="7" t="s">
        <v>491</v>
      </c>
      <c r="B180" s="7" t="s">
        <v>809</v>
      </c>
    </row>
    <row r="181" spans="1:2" x14ac:dyDescent="0.2">
      <c r="A181" s="7" t="s">
        <v>77</v>
      </c>
      <c r="B181" s="7" t="s">
        <v>742</v>
      </c>
    </row>
    <row r="182" spans="1:2" x14ac:dyDescent="0.2">
      <c r="A182" s="7" t="s">
        <v>482</v>
      </c>
      <c r="B182" s="7" t="s">
        <v>783</v>
      </c>
    </row>
    <row r="183" spans="1:2" x14ac:dyDescent="0.2">
      <c r="A183" s="7" t="s">
        <v>245</v>
      </c>
      <c r="B183" s="7" t="s">
        <v>739</v>
      </c>
    </row>
    <row r="184" spans="1:2" x14ac:dyDescent="0.2">
      <c r="A184" s="7" t="s">
        <v>234</v>
      </c>
      <c r="B184" s="7" t="s">
        <v>810</v>
      </c>
    </row>
    <row r="185" spans="1:2" x14ac:dyDescent="0.2">
      <c r="A185" s="7" t="s">
        <v>8</v>
      </c>
      <c r="B185" s="7" t="s">
        <v>737</v>
      </c>
    </row>
    <row r="186" spans="1:2" x14ac:dyDescent="0.2">
      <c r="A186" s="7" t="s">
        <v>603</v>
      </c>
      <c r="B186" s="7" t="s">
        <v>642</v>
      </c>
    </row>
    <row r="187" spans="1:2" x14ac:dyDescent="0.2">
      <c r="A187" s="7" t="s">
        <v>494</v>
      </c>
      <c r="B187" s="7" t="s">
        <v>779</v>
      </c>
    </row>
    <row r="188" spans="1:2" x14ac:dyDescent="0.2">
      <c r="A188" s="7" t="s">
        <v>55</v>
      </c>
      <c r="B188" s="7" t="s">
        <v>31</v>
      </c>
    </row>
    <row r="189" spans="1:2" x14ac:dyDescent="0.2">
      <c r="A189" s="7" t="s">
        <v>521</v>
      </c>
      <c r="B189" s="7" t="s">
        <v>753</v>
      </c>
    </row>
    <row r="190" spans="1:2" x14ac:dyDescent="0.2">
      <c r="A190" s="7" t="s">
        <v>302</v>
      </c>
      <c r="B190" s="7" t="s">
        <v>638</v>
      </c>
    </row>
    <row r="191" spans="1:2" x14ac:dyDescent="0.2">
      <c r="A191" s="7" t="s">
        <v>621</v>
      </c>
      <c r="B191" s="7" t="s">
        <v>644</v>
      </c>
    </row>
    <row r="192" spans="1:2" x14ac:dyDescent="0.2">
      <c r="A192" s="7" t="s">
        <v>353</v>
      </c>
      <c r="B192" s="7" t="s">
        <v>811</v>
      </c>
    </row>
    <row r="193" spans="1:3" x14ac:dyDescent="0.2">
      <c r="A193" s="7" t="s">
        <v>432</v>
      </c>
      <c r="B193" s="7" t="s">
        <v>799</v>
      </c>
    </row>
    <row r="194" spans="1:3" x14ac:dyDescent="0.2">
      <c r="A194" s="7" t="s">
        <v>606</v>
      </c>
      <c r="B194" s="7" t="s">
        <v>752</v>
      </c>
    </row>
    <row r="195" spans="1:3" x14ac:dyDescent="0.2">
      <c r="A195" s="7" t="s">
        <v>594</v>
      </c>
      <c r="B195" s="7" t="s">
        <v>812</v>
      </c>
    </row>
    <row r="196" spans="1:3" x14ac:dyDescent="0.2">
      <c r="A196" s="7" t="s">
        <v>461</v>
      </c>
      <c r="B196" s="7" t="s">
        <v>750</v>
      </c>
    </row>
    <row r="197" spans="1:3" x14ac:dyDescent="0.2">
      <c r="A197" s="7" t="s">
        <v>526</v>
      </c>
      <c r="B197" s="7" t="s">
        <v>328</v>
      </c>
    </row>
    <row r="198" spans="1:3" x14ac:dyDescent="0.2">
      <c r="A198" s="7" t="s">
        <v>534</v>
      </c>
      <c r="B198" s="7" t="s">
        <v>746</v>
      </c>
    </row>
    <row r="199" spans="1:3" x14ac:dyDescent="0.2">
      <c r="A199" s="7" t="s">
        <v>414</v>
      </c>
      <c r="B199" s="7" t="s">
        <v>808</v>
      </c>
    </row>
    <row r="200" spans="1:3" x14ac:dyDescent="0.2">
      <c r="A200" s="7" t="s">
        <v>70</v>
      </c>
      <c r="B200" s="7" t="s">
        <v>742</v>
      </c>
    </row>
    <row r="201" spans="1:3" x14ac:dyDescent="0.2">
      <c r="A201" s="7" t="s">
        <v>97</v>
      </c>
      <c r="B201" s="7" t="s">
        <v>813</v>
      </c>
    </row>
    <row r="202" spans="1:3" x14ac:dyDescent="0.2">
      <c r="A202" s="7" t="s">
        <v>614</v>
      </c>
      <c r="B202" s="7" t="s">
        <v>752</v>
      </c>
    </row>
    <row r="203" spans="1:3" x14ac:dyDescent="0.2">
      <c r="A203" s="7" t="s">
        <v>30</v>
      </c>
      <c r="B203" s="7" t="s">
        <v>814</v>
      </c>
    </row>
    <row r="204" spans="1:3" x14ac:dyDescent="0.2">
      <c r="A204" s="7" t="s">
        <v>369</v>
      </c>
      <c r="B204" s="7" t="s">
        <v>815</v>
      </c>
      <c r="C204" t="s">
        <v>816</v>
      </c>
    </row>
    <row r="205" spans="1:3" x14ac:dyDescent="0.2">
      <c r="A205" s="7" t="s">
        <v>203</v>
      </c>
      <c r="B205" s="7" t="s">
        <v>730</v>
      </c>
    </row>
    <row r="206" spans="1:3" x14ac:dyDescent="0.2">
      <c r="A206" s="7" t="s">
        <v>441</v>
      </c>
      <c r="B206" s="7" t="s">
        <v>639</v>
      </c>
    </row>
    <row r="207" spans="1:3" x14ac:dyDescent="0.2">
      <c r="A207" s="7" t="s">
        <v>333</v>
      </c>
      <c r="B207" s="7" t="s">
        <v>179</v>
      </c>
    </row>
    <row r="208" spans="1:3" x14ac:dyDescent="0.2">
      <c r="A208" s="7" t="s">
        <v>349</v>
      </c>
      <c r="B208" s="7" t="s">
        <v>817</v>
      </c>
    </row>
    <row r="209" spans="1:2" x14ac:dyDescent="0.2">
      <c r="A209" s="7" t="s">
        <v>163</v>
      </c>
      <c r="B209" s="7" t="s">
        <v>818</v>
      </c>
    </row>
    <row r="210" spans="1:2" x14ac:dyDescent="0.2">
      <c r="A210" s="7" t="s">
        <v>531</v>
      </c>
      <c r="B210" s="7" t="s">
        <v>746</v>
      </c>
    </row>
    <row r="211" spans="1:2" x14ac:dyDescent="0.2">
      <c r="A211" s="7" t="s">
        <v>523</v>
      </c>
      <c r="B211" s="7" t="s">
        <v>753</v>
      </c>
    </row>
    <row r="212" spans="1:2" x14ac:dyDescent="0.2">
      <c r="A212" s="7" t="s">
        <v>103</v>
      </c>
      <c r="B212" s="7" t="s">
        <v>766</v>
      </c>
    </row>
    <row r="213" spans="1:2" x14ac:dyDescent="0.2">
      <c r="A213" s="7" t="s">
        <v>564</v>
      </c>
      <c r="B213" s="7" t="s">
        <v>642</v>
      </c>
    </row>
    <row r="214" spans="1:2" x14ac:dyDescent="0.2">
      <c r="A214" s="7" t="s">
        <v>277</v>
      </c>
      <c r="B214" s="7" t="s">
        <v>767</v>
      </c>
    </row>
    <row r="215" spans="1:2" x14ac:dyDescent="0.2">
      <c r="A215" s="7" t="s">
        <v>41</v>
      </c>
      <c r="B215" s="7" t="s">
        <v>735</v>
      </c>
    </row>
    <row r="216" spans="1:2" x14ac:dyDescent="0.2">
      <c r="A216" s="7" t="s">
        <v>454</v>
      </c>
      <c r="B216" s="7" t="s">
        <v>762</v>
      </c>
    </row>
    <row r="217" spans="1:2" x14ac:dyDescent="0.2">
      <c r="A217" s="7" t="s">
        <v>583</v>
      </c>
      <c r="B217" s="7" t="s">
        <v>642</v>
      </c>
    </row>
    <row r="218" spans="1:2" x14ac:dyDescent="0.2">
      <c r="A218" s="7" t="s">
        <v>543</v>
      </c>
      <c r="B218" s="7" t="s">
        <v>465</v>
      </c>
    </row>
    <row r="219" spans="1:2" x14ac:dyDescent="0.2">
      <c r="A219" s="7" t="s">
        <v>56</v>
      </c>
      <c r="B219" s="7" t="s">
        <v>819</v>
      </c>
    </row>
    <row r="220" spans="1:2" x14ac:dyDescent="0.2">
      <c r="A220" s="7" t="s">
        <v>401</v>
      </c>
      <c r="B220" s="7" t="s">
        <v>799</v>
      </c>
    </row>
    <row r="221" spans="1:2" x14ac:dyDescent="0.2">
      <c r="A221" s="7" t="s">
        <v>566</v>
      </c>
      <c r="B221" s="7" t="s">
        <v>642</v>
      </c>
    </row>
    <row r="222" spans="1:2" x14ac:dyDescent="0.2">
      <c r="A222" s="7" t="s">
        <v>544</v>
      </c>
      <c r="B222" s="7" t="s">
        <v>820</v>
      </c>
    </row>
    <row r="223" spans="1:2" x14ac:dyDescent="0.2">
      <c r="A223" s="7" t="s">
        <v>478</v>
      </c>
      <c r="B223" s="7" t="s">
        <v>779</v>
      </c>
    </row>
    <row r="224" spans="1:2" x14ac:dyDescent="0.2">
      <c r="A224" s="7" t="s">
        <v>296</v>
      </c>
      <c r="B224" s="7" t="s">
        <v>798</v>
      </c>
    </row>
    <row r="225" spans="1:3" x14ac:dyDescent="0.2">
      <c r="A225" s="7" t="s">
        <v>500</v>
      </c>
      <c r="B225" s="7" t="s">
        <v>775</v>
      </c>
    </row>
    <row r="226" spans="1:3" x14ac:dyDescent="0.2">
      <c r="A226" s="7" t="s">
        <v>438</v>
      </c>
      <c r="B226" s="7" t="s">
        <v>639</v>
      </c>
    </row>
    <row r="227" spans="1:3" x14ac:dyDescent="0.2">
      <c r="A227" s="7" t="s">
        <v>435</v>
      </c>
      <c r="B227" s="7" t="s">
        <v>821</v>
      </c>
      <c r="C227" t="s">
        <v>822</v>
      </c>
    </row>
    <row r="228" spans="1:3" x14ac:dyDescent="0.2">
      <c r="A228" s="7" t="s">
        <v>623</v>
      </c>
      <c r="B228" s="7" t="s">
        <v>644</v>
      </c>
    </row>
    <row r="229" spans="1:3" x14ac:dyDescent="0.2">
      <c r="A229" s="7" t="s">
        <v>253</v>
      </c>
      <c r="B229" s="7" t="s">
        <v>637</v>
      </c>
    </row>
    <row r="230" spans="1:3" x14ac:dyDescent="0.2">
      <c r="A230" s="7" t="s">
        <v>232</v>
      </c>
      <c r="B230" s="7" t="s">
        <v>759</v>
      </c>
    </row>
    <row r="231" spans="1:3" x14ac:dyDescent="0.2">
      <c r="A231" s="7" t="s">
        <v>325</v>
      </c>
      <c r="B231" s="7" t="s">
        <v>745</v>
      </c>
    </row>
    <row r="232" spans="1:3" x14ac:dyDescent="0.2">
      <c r="A232" s="7" t="s">
        <v>184</v>
      </c>
      <c r="B232" s="7" t="s">
        <v>75</v>
      </c>
    </row>
    <row r="233" spans="1:3" x14ac:dyDescent="0.2">
      <c r="A233" s="7" t="s">
        <v>291</v>
      </c>
      <c r="B233" s="7" t="s">
        <v>793</v>
      </c>
    </row>
    <row r="234" spans="1:3" x14ac:dyDescent="0.2">
      <c r="A234" s="7" t="s">
        <v>399</v>
      </c>
      <c r="B234" s="7" t="s">
        <v>799</v>
      </c>
    </row>
    <row r="235" spans="1:3" x14ac:dyDescent="0.2">
      <c r="A235" s="7" t="s">
        <v>180</v>
      </c>
      <c r="B235" s="7" t="s">
        <v>730</v>
      </c>
    </row>
    <row r="236" spans="1:3" x14ac:dyDescent="0.2">
      <c r="A236" s="7" t="s">
        <v>404</v>
      </c>
      <c r="B236" s="7" t="s">
        <v>773</v>
      </c>
    </row>
    <row r="237" spans="1:3" x14ac:dyDescent="0.2">
      <c r="A237" s="7" t="s">
        <v>24</v>
      </c>
      <c r="B237" s="7" t="s">
        <v>732</v>
      </c>
    </row>
    <row r="238" spans="1:3" x14ac:dyDescent="0.2">
      <c r="A238" s="7" t="s">
        <v>241</v>
      </c>
      <c r="B238" s="7" t="s">
        <v>636</v>
      </c>
    </row>
    <row r="239" spans="1:3" x14ac:dyDescent="0.2">
      <c r="A239" s="7" t="s">
        <v>529</v>
      </c>
      <c r="B239" s="7" t="s">
        <v>753</v>
      </c>
    </row>
    <row r="240" spans="1:3" x14ac:dyDescent="0.2">
      <c r="A240" s="7" t="s">
        <v>420</v>
      </c>
      <c r="B240" s="7" t="s">
        <v>745</v>
      </c>
    </row>
    <row r="241" spans="1:3" x14ac:dyDescent="0.2">
      <c r="A241" s="7" t="s">
        <v>286</v>
      </c>
      <c r="B241" s="7" t="s">
        <v>793</v>
      </c>
    </row>
    <row r="242" spans="1:3" x14ac:dyDescent="0.2">
      <c r="A242" s="7" t="s">
        <v>385</v>
      </c>
      <c r="B242" s="7" t="s">
        <v>823</v>
      </c>
    </row>
    <row r="243" spans="1:3" x14ac:dyDescent="0.2">
      <c r="A243" s="7" t="s">
        <v>118</v>
      </c>
      <c r="B243" s="7" t="s">
        <v>634</v>
      </c>
    </row>
    <row r="244" spans="1:3" x14ac:dyDescent="0.2">
      <c r="A244" s="7" t="s">
        <v>136</v>
      </c>
      <c r="B244" s="7" t="s">
        <v>772</v>
      </c>
    </row>
    <row r="245" spans="1:3" x14ac:dyDescent="0.2">
      <c r="A245" s="7" t="s">
        <v>316</v>
      </c>
      <c r="B245" s="7" t="s">
        <v>767</v>
      </c>
    </row>
    <row r="246" spans="1:3" x14ac:dyDescent="0.2">
      <c r="A246" s="7" t="s">
        <v>468</v>
      </c>
      <c r="B246" s="7" t="s">
        <v>824</v>
      </c>
    </row>
    <row r="247" spans="1:3" x14ac:dyDescent="0.2">
      <c r="A247" s="7" t="s">
        <v>340</v>
      </c>
      <c r="B247" s="7" t="s">
        <v>779</v>
      </c>
    </row>
    <row r="248" spans="1:3" x14ac:dyDescent="0.2">
      <c r="A248" s="7" t="s">
        <v>257</v>
      </c>
      <c r="B248" s="7" t="s">
        <v>795</v>
      </c>
    </row>
    <row r="249" spans="1:3" x14ac:dyDescent="0.2">
      <c r="A249" s="7" t="s">
        <v>407</v>
      </c>
      <c r="B249" s="7" t="s">
        <v>745</v>
      </c>
    </row>
    <row r="250" spans="1:3" x14ac:dyDescent="0.2">
      <c r="A250" s="7" t="s">
        <v>304</v>
      </c>
      <c r="B250" s="7" t="s">
        <v>825</v>
      </c>
      <c r="C250" t="s">
        <v>826</v>
      </c>
    </row>
    <row r="251" spans="1:3" x14ac:dyDescent="0.2">
      <c r="A251" s="7" t="s">
        <v>501</v>
      </c>
      <c r="B251" s="7" t="s">
        <v>827</v>
      </c>
    </row>
    <row r="252" spans="1:3" x14ac:dyDescent="0.2">
      <c r="A252" s="7" t="s">
        <v>416</v>
      </c>
      <c r="B252" s="7" t="s">
        <v>639</v>
      </c>
    </row>
    <row r="253" spans="1:3" x14ac:dyDescent="0.2">
      <c r="A253" s="7" t="s">
        <v>559</v>
      </c>
      <c r="B253" s="7" t="s">
        <v>828</v>
      </c>
    </row>
    <row r="254" spans="1:3" x14ac:dyDescent="0.2">
      <c r="A254" s="7" t="s">
        <v>39</v>
      </c>
      <c r="B254" s="7" t="s">
        <v>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"/>
  <sheetViews>
    <sheetView workbookViewId="0">
      <selection activeCell="D11" sqref="D11"/>
    </sheetView>
  </sheetViews>
  <sheetFormatPr baseColWidth="10" defaultColWidth="8.83203125" defaultRowHeight="16" x14ac:dyDescent="0.2"/>
  <cols>
    <col min="1" max="1" width="27.83203125" bestFit="1" customWidth="1"/>
    <col min="2" max="2" width="20.1640625" bestFit="1" customWidth="1"/>
    <col min="3" max="3" width="41.6640625" bestFit="1" customWidth="1"/>
  </cols>
  <sheetData>
    <row r="1" spans="1:3" ht="20" customHeight="1" thickBot="1" x14ac:dyDescent="0.3">
      <c r="A1" s="12" t="s">
        <v>829</v>
      </c>
      <c r="B1" s="12" t="s">
        <v>726</v>
      </c>
      <c r="C1" s="12" t="s">
        <v>830</v>
      </c>
    </row>
    <row r="3" spans="1:3" x14ac:dyDescent="0.2">
      <c r="A3" t="s">
        <v>831</v>
      </c>
    </row>
    <row r="4" spans="1:3" x14ac:dyDescent="0.2">
      <c r="B4" t="s">
        <v>832</v>
      </c>
      <c r="C4" t="s">
        <v>833</v>
      </c>
    </row>
    <row r="5" spans="1:3" x14ac:dyDescent="0.2">
      <c r="B5" t="s">
        <v>834</v>
      </c>
      <c r="C5" t="s">
        <v>835</v>
      </c>
    </row>
    <row r="6" spans="1:3" x14ac:dyDescent="0.2">
      <c r="B6" t="s">
        <v>834</v>
      </c>
      <c r="C6" t="s">
        <v>836</v>
      </c>
    </row>
    <row r="7" spans="1:3" x14ac:dyDescent="0.2">
      <c r="B7" t="s">
        <v>837</v>
      </c>
      <c r="C7" t="s">
        <v>835</v>
      </c>
    </row>
    <row r="8" spans="1:3" x14ac:dyDescent="0.2">
      <c r="B8" t="s">
        <v>837</v>
      </c>
      <c r="C8" t="s">
        <v>836</v>
      </c>
    </row>
    <row r="9" spans="1:3" x14ac:dyDescent="0.2">
      <c r="B9" t="s">
        <v>838</v>
      </c>
      <c r="C9" t="s">
        <v>833</v>
      </c>
    </row>
    <row r="10" spans="1:3" x14ac:dyDescent="0.2">
      <c r="B10" t="s">
        <v>838</v>
      </c>
      <c r="C10" t="s">
        <v>839</v>
      </c>
    </row>
    <row r="11" spans="1:3" x14ac:dyDescent="0.2">
      <c r="B11" t="s">
        <v>840</v>
      </c>
      <c r="C11" t="s">
        <v>841</v>
      </c>
    </row>
    <row r="12" spans="1:3" x14ac:dyDescent="0.2">
      <c r="B12" t="s">
        <v>842</v>
      </c>
      <c r="C12" t="s">
        <v>843</v>
      </c>
    </row>
    <row r="13" spans="1:3" x14ac:dyDescent="0.2">
      <c r="B13" t="s">
        <v>844</v>
      </c>
      <c r="C13" t="s">
        <v>845</v>
      </c>
    </row>
    <row r="14" spans="1:3" x14ac:dyDescent="0.2">
      <c r="B14" t="s">
        <v>844</v>
      </c>
      <c r="C14" t="s">
        <v>846</v>
      </c>
    </row>
    <row r="15" spans="1:3" x14ac:dyDescent="0.2">
      <c r="B15" t="s">
        <v>847</v>
      </c>
      <c r="C15" t="s">
        <v>848</v>
      </c>
    </row>
    <row r="16" spans="1:3" x14ac:dyDescent="0.2">
      <c r="B16" t="s">
        <v>847</v>
      </c>
      <c r="C16" t="s">
        <v>849</v>
      </c>
    </row>
    <row r="17" spans="1:3" x14ac:dyDescent="0.2">
      <c r="B17" t="s">
        <v>850</v>
      </c>
      <c r="C17" t="s">
        <v>849</v>
      </c>
    </row>
    <row r="18" spans="1:3" x14ac:dyDescent="0.2">
      <c r="B18" t="s">
        <v>851</v>
      </c>
      <c r="C18" t="s">
        <v>852</v>
      </c>
    </row>
    <row r="19" spans="1:3" x14ac:dyDescent="0.2">
      <c r="B19" t="s">
        <v>851</v>
      </c>
      <c r="C19" t="s">
        <v>853</v>
      </c>
    </row>
    <row r="21" spans="1:3" x14ac:dyDescent="0.2">
      <c r="A21" t="s">
        <v>854</v>
      </c>
    </row>
    <row r="22" spans="1:3" x14ac:dyDescent="0.2">
      <c r="B22" t="s">
        <v>832</v>
      </c>
      <c r="C22" t="s">
        <v>833</v>
      </c>
    </row>
    <row r="23" spans="1:3" x14ac:dyDescent="0.2">
      <c r="B23" t="s">
        <v>834</v>
      </c>
      <c r="C23" t="s">
        <v>835</v>
      </c>
    </row>
    <row r="24" spans="1:3" x14ac:dyDescent="0.2">
      <c r="B24" t="s">
        <v>834</v>
      </c>
      <c r="C24" t="s">
        <v>855</v>
      </c>
    </row>
    <row r="25" spans="1:3" x14ac:dyDescent="0.2">
      <c r="B25" t="s">
        <v>837</v>
      </c>
      <c r="C25" t="s">
        <v>835</v>
      </c>
    </row>
    <row r="26" spans="1:3" x14ac:dyDescent="0.2">
      <c r="B26" t="s">
        <v>837</v>
      </c>
      <c r="C26" t="s">
        <v>855</v>
      </c>
    </row>
    <row r="27" spans="1:3" x14ac:dyDescent="0.2">
      <c r="B27" t="s">
        <v>838</v>
      </c>
      <c r="C27" t="s">
        <v>833</v>
      </c>
    </row>
    <row r="28" spans="1:3" x14ac:dyDescent="0.2">
      <c r="B28" t="s">
        <v>838</v>
      </c>
      <c r="C28" t="s">
        <v>856</v>
      </c>
    </row>
    <row r="29" spans="1:3" x14ac:dyDescent="0.2">
      <c r="B29" t="s">
        <v>840</v>
      </c>
      <c r="C29" t="s">
        <v>841</v>
      </c>
    </row>
    <row r="30" spans="1:3" x14ac:dyDescent="0.2">
      <c r="B30" t="s">
        <v>842</v>
      </c>
      <c r="C30" t="s">
        <v>857</v>
      </c>
    </row>
    <row r="31" spans="1:3" x14ac:dyDescent="0.2">
      <c r="B31" t="s">
        <v>844</v>
      </c>
      <c r="C31" t="s">
        <v>858</v>
      </c>
    </row>
    <row r="32" spans="1:3" x14ac:dyDescent="0.2">
      <c r="B32" t="s">
        <v>844</v>
      </c>
      <c r="C32" t="s">
        <v>859</v>
      </c>
    </row>
    <row r="33" spans="1:3" x14ac:dyDescent="0.2">
      <c r="B33" t="s">
        <v>847</v>
      </c>
      <c r="C33" t="s">
        <v>848</v>
      </c>
    </row>
    <row r="34" spans="1:3" x14ac:dyDescent="0.2">
      <c r="B34" t="s">
        <v>847</v>
      </c>
      <c r="C34" t="s">
        <v>849</v>
      </c>
    </row>
    <row r="35" spans="1:3" x14ac:dyDescent="0.2">
      <c r="B35" t="s">
        <v>850</v>
      </c>
      <c r="C35" t="s">
        <v>849</v>
      </c>
    </row>
    <row r="36" spans="1:3" x14ac:dyDescent="0.2">
      <c r="B36" t="s">
        <v>851</v>
      </c>
      <c r="C36" t="s">
        <v>860</v>
      </c>
    </row>
    <row r="37" spans="1:3" x14ac:dyDescent="0.2">
      <c r="B37" t="s">
        <v>851</v>
      </c>
      <c r="C37" t="s">
        <v>853</v>
      </c>
    </row>
    <row r="39" spans="1:3" x14ac:dyDescent="0.2">
      <c r="A39" t="s">
        <v>861</v>
      </c>
    </row>
    <row r="40" spans="1:3" x14ac:dyDescent="0.2">
      <c r="B40" t="s">
        <v>834</v>
      </c>
      <c r="C40" t="s">
        <v>835</v>
      </c>
    </row>
    <row r="41" spans="1:3" x14ac:dyDescent="0.2">
      <c r="B41" t="s">
        <v>834</v>
      </c>
      <c r="C41" t="s">
        <v>862</v>
      </c>
    </row>
    <row r="42" spans="1:3" x14ac:dyDescent="0.2">
      <c r="B42" t="s">
        <v>837</v>
      </c>
      <c r="C42" t="s">
        <v>835</v>
      </c>
    </row>
    <row r="43" spans="1:3" x14ac:dyDescent="0.2">
      <c r="B43" t="s">
        <v>837</v>
      </c>
      <c r="C43" t="s">
        <v>862</v>
      </c>
    </row>
    <row r="44" spans="1:3" x14ac:dyDescent="0.2">
      <c r="B44" t="s">
        <v>842</v>
      </c>
      <c r="C44" t="s">
        <v>863</v>
      </c>
    </row>
    <row r="45" spans="1:3" x14ac:dyDescent="0.2">
      <c r="B45" t="s">
        <v>844</v>
      </c>
      <c r="C45" t="s">
        <v>864</v>
      </c>
    </row>
    <row r="46" spans="1:3" x14ac:dyDescent="0.2">
      <c r="B46" t="s">
        <v>844</v>
      </c>
      <c r="C46" t="s">
        <v>865</v>
      </c>
    </row>
    <row r="47" spans="1:3" x14ac:dyDescent="0.2">
      <c r="B47" t="s">
        <v>840</v>
      </c>
      <c r="C47" t="s">
        <v>866</v>
      </c>
    </row>
    <row r="48" spans="1:3" x14ac:dyDescent="0.2">
      <c r="B48" t="s">
        <v>847</v>
      </c>
      <c r="C48" t="s">
        <v>867</v>
      </c>
    </row>
    <row r="49" spans="1:3" x14ac:dyDescent="0.2">
      <c r="B49" t="s">
        <v>847</v>
      </c>
      <c r="C49" t="s">
        <v>868</v>
      </c>
    </row>
    <row r="50" spans="1:3" x14ac:dyDescent="0.2">
      <c r="B50" t="s">
        <v>851</v>
      </c>
      <c r="C50" t="s">
        <v>869</v>
      </c>
    </row>
    <row r="51" spans="1:3" x14ac:dyDescent="0.2">
      <c r="B51" t="s">
        <v>851</v>
      </c>
      <c r="C51" t="s">
        <v>870</v>
      </c>
    </row>
    <row r="52" spans="1:3" x14ac:dyDescent="0.2">
      <c r="B52" t="s">
        <v>850</v>
      </c>
      <c r="C52" t="s">
        <v>868</v>
      </c>
    </row>
    <row r="54" spans="1:3" x14ac:dyDescent="0.2">
      <c r="A54" t="s">
        <v>871</v>
      </c>
    </row>
    <row r="55" spans="1:3" x14ac:dyDescent="0.2">
      <c r="B55" t="s">
        <v>834</v>
      </c>
      <c r="C55" t="s">
        <v>835</v>
      </c>
    </row>
    <row r="56" spans="1:3" x14ac:dyDescent="0.2">
      <c r="B56" t="s">
        <v>834</v>
      </c>
      <c r="C56" t="s">
        <v>862</v>
      </c>
    </row>
    <row r="57" spans="1:3" x14ac:dyDescent="0.2">
      <c r="B57" t="s">
        <v>837</v>
      </c>
      <c r="C57" t="s">
        <v>835</v>
      </c>
    </row>
    <row r="58" spans="1:3" x14ac:dyDescent="0.2">
      <c r="B58" t="s">
        <v>837</v>
      </c>
      <c r="C58" t="s">
        <v>862</v>
      </c>
    </row>
    <row r="59" spans="1:3" x14ac:dyDescent="0.2">
      <c r="B59" t="s">
        <v>842</v>
      </c>
      <c r="C59" t="s">
        <v>863</v>
      </c>
    </row>
    <row r="60" spans="1:3" x14ac:dyDescent="0.2">
      <c r="B60" t="s">
        <v>844</v>
      </c>
      <c r="C60" t="s">
        <v>872</v>
      </c>
    </row>
    <row r="61" spans="1:3" x14ac:dyDescent="0.2">
      <c r="B61" t="s">
        <v>844</v>
      </c>
      <c r="C61" t="s">
        <v>873</v>
      </c>
    </row>
    <row r="62" spans="1:3" x14ac:dyDescent="0.2">
      <c r="B62" t="s">
        <v>840</v>
      </c>
      <c r="C62" t="s">
        <v>874</v>
      </c>
    </row>
    <row r="63" spans="1:3" x14ac:dyDescent="0.2">
      <c r="B63" t="s">
        <v>847</v>
      </c>
      <c r="C63" t="s">
        <v>875</v>
      </c>
    </row>
    <row r="64" spans="1:3" x14ac:dyDescent="0.2">
      <c r="B64" t="s">
        <v>847</v>
      </c>
      <c r="C64" t="s">
        <v>876</v>
      </c>
    </row>
    <row r="65" spans="1:3" x14ac:dyDescent="0.2">
      <c r="B65" t="s">
        <v>851</v>
      </c>
      <c r="C65" t="s">
        <v>877</v>
      </c>
    </row>
    <row r="66" spans="1:3" x14ac:dyDescent="0.2">
      <c r="B66" t="s">
        <v>851</v>
      </c>
      <c r="C66" t="s">
        <v>878</v>
      </c>
    </row>
    <row r="67" spans="1:3" x14ac:dyDescent="0.2">
      <c r="B67" t="s">
        <v>850</v>
      </c>
      <c r="C67" t="s">
        <v>876</v>
      </c>
    </row>
    <row r="69" spans="1:3" x14ac:dyDescent="0.2">
      <c r="A69" t="s">
        <v>879</v>
      </c>
    </row>
    <row r="70" spans="1:3" x14ac:dyDescent="0.2">
      <c r="B70" t="s">
        <v>834</v>
      </c>
      <c r="C70" t="s">
        <v>835</v>
      </c>
    </row>
    <row r="71" spans="1:3" x14ac:dyDescent="0.2">
      <c r="B71" t="s">
        <v>834</v>
      </c>
      <c r="C71" t="s">
        <v>862</v>
      </c>
    </row>
    <row r="72" spans="1:3" x14ac:dyDescent="0.2">
      <c r="B72" t="s">
        <v>837</v>
      </c>
      <c r="C72" t="s">
        <v>835</v>
      </c>
    </row>
    <row r="73" spans="1:3" x14ac:dyDescent="0.2">
      <c r="B73" t="s">
        <v>837</v>
      </c>
      <c r="C73" t="s">
        <v>862</v>
      </c>
    </row>
    <row r="74" spans="1:3" x14ac:dyDescent="0.2">
      <c r="B74" t="s">
        <v>842</v>
      </c>
      <c r="C74" t="s">
        <v>880</v>
      </c>
    </row>
    <row r="75" spans="1:3" x14ac:dyDescent="0.2">
      <c r="B75" t="s">
        <v>844</v>
      </c>
      <c r="C75" t="s">
        <v>881</v>
      </c>
    </row>
    <row r="76" spans="1:3" x14ac:dyDescent="0.2">
      <c r="B76" t="s">
        <v>844</v>
      </c>
      <c r="C76" t="s">
        <v>882</v>
      </c>
    </row>
    <row r="77" spans="1:3" x14ac:dyDescent="0.2">
      <c r="B77" t="s">
        <v>840</v>
      </c>
      <c r="C77" t="s">
        <v>866</v>
      </c>
    </row>
    <row r="78" spans="1:3" x14ac:dyDescent="0.2">
      <c r="B78" t="s">
        <v>847</v>
      </c>
      <c r="C78" t="s">
        <v>883</v>
      </c>
    </row>
    <row r="79" spans="1:3" x14ac:dyDescent="0.2">
      <c r="B79" t="s">
        <v>847</v>
      </c>
      <c r="C79" t="s">
        <v>876</v>
      </c>
    </row>
    <row r="80" spans="1:3" x14ac:dyDescent="0.2">
      <c r="B80" t="s">
        <v>851</v>
      </c>
      <c r="C80" t="s">
        <v>884</v>
      </c>
    </row>
    <row r="81" spans="2:3" x14ac:dyDescent="0.2">
      <c r="B81" t="s">
        <v>851</v>
      </c>
      <c r="C81" t="s">
        <v>885</v>
      </c>
    </row>
    <row r="82" spans="2:3" x14ac:dyDescent="0.2">
      <c r="B82" t="s">
        <v>850</v>
      </c>
      <c r="C82" t="s">
        <v>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D25" sqref="D25"/>
    </sheetView>
  </sheetViews>
  <sheetFormatPr baseColWidth="10" defaultColWidth="8.83203125" defaultRowHeight="21" customHeight="1" x14ac:dyDescent="0.2"/>
  <cols>
    <col min="2" max="2" width="112.1640625" bestFit="1" customWidth="1"/>
    <col min="3" max="3" width="14.5" bestFit="1" customWidth="1"/>
  </cols>
  <sheetData>
    <row r="1" spans="1:9" s="6" customFormat="1" ht="21" customHeight="1" thickBot="1" x14ac:dyDescent="0.3">
      <c r="A1" s="10" t="s">
        <v>886</v>
      </c>
      <c r="B1" s="10" t="s">
        <v>887</v>
      </c>
      <c r="C1" s="10" t="s">
        <v>888</v>
      </c>
      <c r="D1" s="10" t="s">
        <v>889</v>
      </c>
      <c r="E1" s="10" t="s">
        <v>890</v>
      </c>
      <c r="F1" s="10" t="s">
        <v>891</v>
      </c>
      <c r="G1" s="10" t="s">
        <v>892</v>
      </c>
      <c r="H1" s="10" t="s">
        <v>893</v>
      </c>
      <c r="I1" s="10" t="s">
        <v>894</v>
      </c>
    </row>
    <row r="2" spans="1:9" ht="21" customHeight="1" x14ac:dyDescent="0.2">
      <c r="A2" s="8" t="s">
        <v>4</v>
      </c>
      <c r="B2" s="8" t="s">
        <v>895</v>
      </c>
      <c r="C2" s="7">
        <v>12</v>
      </c>
      <c r="D2" s="5">
        <v>4</v>
      </c>
      <c r="E2" s="5">
        <v>4</v>
      </c>
      <c r="F2" s="5">
        <v>2</v>
      </c>
      <c r="G2" s="5">
        <v>1</v>
      </c>
      <c r="H2" s="5"/>
      <c r="I2" s="5"/>
    </row>
    <row r="3" spans="1:9" ht="21" customHeight="1" x14ac:dyDescent="0.2">
      <c r="A3" s="8" t="s">
        <v>31</v>
      </c>
      <c r="B3" s="8" t="s">
        <v>896</v>
      </c>
      <c r="C3" s="7">
        <v>11</v>
      </c>
      <c r="D3" s="5">
        <v>3</v>
      </c>
      <c r="E3" s="5">
        <v>4</v>
      </c>
      <c r="F3" s="5">
        <v>2</v>
      </c>
      <c r="G3" s="5">
        <v>1</v>
      </c>
      <c r="H3" s="5"/>
      <c r="I3" s="5"/>
    </row>
    <row r="4" spans="1:9" ht="21" customHeight="1" x14ac:dyDescent="0.2">
      <c r="A4" s="8" t="s">
        <v>633</v>
      </c>
      <c r="B4" s="8" t="s">
        <v>897</v>
      </c>
      <c r="C4" s="7">
        <v>20</v>
      </c>
      <c r="D4" s="5">
        <v>2</v>
      </c>
      <c r="E4" s="5">
        <v>4</v>
      </c>
      <c r="F4" s="5">
        <v>2</v>
      </c>
      <c r="G4" s="5">
        <v>1</v>
      </c>
      <c r="H4" s="5"/>
      <c r="I4" s="5"/>
    </row>
    <row r="5" spans="1:9" ht="21" customHeight="1" x14ac:dyDescent="0.2">
      <c r="A5" s="8" t="s">
        <v>634</v>
      </c>
      <c r="B5" s="8" t="s">
        <v>898</v>
      </c>
      <c r="C5" s="7">
        <v>16</v>
      </c>
      <c r="D5" s="5">
        <v>4</v>
      </c>
      <c r="E5" s="5">
        <v>2</v>
      </c>
      <c r="F5" s="5">
        <v>1</v>
      </c>
      <c r="G5" s="5"/>
      <c r="H5" s="5"/>
      <c r="I5" s="5"/>
    </row>
    <row r="6" spans="1:9" ht="21" customHeight="1" x14ac:dyDescent="0.2">
      <c r="A6" s="8" t="s">
        <v>635</v>
      </c>
      <c r="B6" s="8" t="s">
        <v>899</v>
      </c>
      <c r="C6" s="7">
        <v>26</v>
      </c>
      <c r="D6" s="5">
        <v>5</v>
      </c>
      <c r="E6" s="5">
        <v>4</v>
      </c>
      <c r="F6" s="5">
        <v>2</v>
      </c>
      <c r="G6" s="5">
        <v>1</v>
      </c>
      <c r="H6" s="5"/>
      <c r="I6" s="5"/>
    </row>
    <row r="7" spans="1:9" ht="21" customHeight="1" x14ac:dyDescent="0.2">
      <c r="A7" s="8" t="s">
        <v>75</v>
      </c>
      <c r="B7" s="8" t="s">
        <v>900</v>
      </c>
      <c r="C7" s="7">
        <v>29</v>
      </c>
      <c r="D7" s="5">
        <v>13</v>
      </c>
      <c r="E7" s="5">
        <v>8</v>
      </c>
      <c r="F7" s="5">
        <v>4</v>
      </c>
      <c r="G7" s="5">
        <v>2</v>
      </c>
      <c r="H7" s="5">
        <v>1</v>
      </c>
      <c r="I7" s="5"/>
    </row>
    <row r="8" spans="1:9" ht="21" customHeight="1" x14ac:dyDescent="0.2">
      <c r="A8" s="8" t="s">
        <v>127</v>
      </c>
      <c r="B8" s="8" t="s">
        <v>901</v>
      </c>
      <c r="C8" s="7">
        <v>7</v>
      </c>
      <c r="D8" s="5">
        <v>3</v>
      </c>
      <c r="E8" s="5">
        <v>2</v>
      </c>
      <c r="F8" s="5">
        <v>1</v>
      </c>
      <c r="G8" s="5"/>
      <c r="H8" s="5"/>
      <c r="I8" s="5"/>
    </row>
    <row r="9" spans="1:9" ht="21" customHeight="1" x14ac:dyDescent="0.2">
      <c r="A9" s="8" t="s">
        <v>636</v>
      </c>
      <c r="B9" s="8" t="s">
        <v>902</v>
      </c>
      <c r="C9" s="7">
        <v>10</v>
      </c>
      <c r="D9" s="5">
        <v>1</v>
      </c>
      <c r="E9" s="5">
        <v>2</v>
      </c>
      <c r="F9" s="5">
        <v>1</v>
      </c>
      <c r="G9" s="5"/>
      <c r="H9" s="5"/>
      <c r="I9" s="5"/>
    </row>
    <row r="10" spans="1:9" ht="21" customHeight="1" x14ac:dyDescent="0.2">
      <c r="A10" s="8" t="s">
        <v>637</v>
      </c>
      <c r="B10" s="8" t="s">
        <v>903</v>
      </c>
      <c r="C10" s="7">
        <v>14</v>
      </c>
      <c r="D10" s="5">
        <v>3</v>
      </c>
      <c r="E10" s="5">
        <v>2</v>
      </c>
      <c r="F10" s="5">
        <v>1</v>
      </c>
      <c r="G10" s="5"/>
      <c r="H10" s="5"/>
      <c r="I10" s="5"/>
    </row>
    <row r="11" spans="1:9" ht="21" customHeight="1" x14ac:dyDescent="0.2">
      <c r="A11" s="8" t="s">
        <v>638</v>
      </c>
      <c r="B11" s="8" t="s">
        <v>904</v>
      </c>
      <c r="C11" s="7">
        <v>28</v>
      </c>
      <c r="D11" s="5">
        <v>6</v>
      </c>
      <c r="E11" s="5">
        <v>4</v>
      </c>
      <c r="F11" s="5">
        <v>2</v>
      </c>
      <c r="G11" s="5">
        <v>1</v>
      </c>
      <c r="H11" s="5"/>
      <c r="I11" s="5"/>
    </row>
    <row r="12" spans="1:9" ht="21" customHeight="1" x14ac:dyDescent="0.2">
      <c r="A12" s="8" t="s">
        <v>179</v>
      </c>
      <c r="B12" s="8" t="s">
        <v>905</v>
      </c>
      <c r="C12" s="7">
        <v>20</v>
      </c>
      <c r="D12" s="5">
        <v>4</v>
      </c>
      <c r="E12" s="5">
        <v>8</v>
      </c>
      <c r="F12" s="5">
        <v>4</v>
      </c>
      <c r="G12" s="5">
        <v>2</v>
      </c>
      <c r="H12" s="5">
        <v>1</v>
      </c>
      <c r="I12" s="5"/>
    </row>
    <row r="13" spans="1:9" ht="21" customHeight="1" x14ac:dyDescent="0.2">
      <c r="A13" s="8" t="s">
        <v>308</v>
      </c>
      <c r="B13" s="8" t="s">
        <v>906</v>
      </c>
      <c r="C13" s="7">
        <v>9</v>
      </c>
      <c r="D13" s="5">
        <v>1</v>
      </c>
      <c r="E13" s="5">
        <v>4</v>
      </c>
      <c r="F13" s="5">
        <v>2</v>
      </c>
      <c r="G13" s="5">
        <v>1</v>
      </c>
      <c r="H13" s="5"/>
      <c r="I13" s="5"/>
    </row>
    <row r="14" spans="1:9" ht="21" customHeight="1" x14ac:dyDescent="0.2">
      <c r="A14" s="8" t="s">
        <v>639</v>
      </c>
      <c r="B14" s="8" t="s">
        <v>907</v>
      </c>
      <c r="C14" s="7">
        <v>40</v>
      </c>
      <c r="D14" s="5">
        <v>4</v>
      </c>
      <c r="E14" s="5">
        <v>8</v>
      </c>
      <c r="F14" s="5">
        <v>4</v>
      </c>
      <c r="G14" s="5">
        <v>2</v>
      </c>
      <c r="H14" s="5">
        <v>1</v>
      </c>
      <c r="I14" s="5"/>
    </row>
    <row r="15" spans="1:9" ht="21" customHeight="1" x14ac:dyDescent="0.2">
      <c r="A15" s="8" t="s">
        <v>640</v>
      </c>
      <c r="B15" s="8" t="s">
        <v>908</v>
      </c>
      <c r="C15" s="7">
        <v>8</v>
      </c>
      <c r="D15" s="5">
        <v>2</v>
      </c>
      <c r="E15" s="5">
        <v>1</v>
      </c>
      <c r="F15" s="5"/>
      <c r="G15" s="5"/>
      <c r="H15" s="5"/>
      <c r="I15" s="5"/>
    </row>
    <row r="16" spans="1:9" ht="21" customHeight="1" x14ac:dyDescent="0.2">
      <c r="A16" s="8" t="s">
        <v>641</v>
      </c>
      <c r="B16" s="8" t="s">
        <v>909</v>
      </c>
      <c r="C16" s="7">
        <v>32</v>
      </c>
      <c r="D16" s="5">
        <v>8</v>
      </c>
      <c r="E16" s="5">
        <v>4</v>
      </c>
      <c r="F16" s="5">
        <v>2</v>
      </c>
      <c r="G16" s="5">
        <v>1</v>
      </c>
      <c r="H16" s="5"/>
      <c r="I16" s="5"/>
    </row>
    <row r="17" spans="1:9" ht="21" customHeight="1" x14ac:dyDescent="0.2">
      <c r="A17" s="8" t="s">
        <v>328</v>
      </c>
      <c r="B17" s="8" t="s">
        <v>910</v>
      </c>
      <c r="C17" s="7">
        <v>23</v>
      </c>
      <c r="D17" s="5">
        <v>7</v>
      </c>
      <c r="E17" s="5">
        <v>8</v>
      </c>
      <c r="F17" s="5">
        <v>4</v>
      </c>
      <c r="G17" s="5">
        <v>2</v>
      </c>
      <c r="H17" s="5">
        <v>1</v>
      </c>
      <c r="I17" s="5">
        <v>1</v>
      </c>
    </row>
    <row r="18" spans="1:9" ht="21" customHeight="1" x14ac:dyDescent="0.2">
      <c r="A18" s="8" t="s">
        <v>465</v>
      </c>
      <c r="B18" s="8" t="s">
        <v>911</v>
      </c>
      <c r="C18" s="7">
        <v>10</v>
      </c>
      <c r="D18" s="5">
        <v>2</v>
      </c>
      <c r="E18" s="5">
        <v>4</v>
      </c>
      <c r="F18" s="5">
        <v>2</v>
      </c>
      <c r="G18" s="5">
        <v>1</v>
      </c>
      <c r="H18" s="5"/>
      <c r="I18" s="5"/>
    </row>
    <row r="19" spans="1:9" ht="21" customHeight="1" x14ac:dyDescent="0.2">
      <c r="A19" s="8" t="s">
        <v>642</v>
      </c>
      <c r="B19" s="8" t="s">
        <v>912</v>
      </c>
      <c r="C19" s="7">
        <v>28</v>
      </c>
      <c r="D19" s="5">
        <v>6</v>
      </c>
      <c r="E19" s="5">
        <v>4</v>
      </c>
      <c r="F19" s="5">
        <v>2</v>
      </c>
      <c r="G19" s="5">
        <v>1</v>
      </c>
      <c r="H19" s="5"/>
      <c r="I19" s="5"/>
    </row>
    <row r="20" spans="1:9" ht="21" customHeight="1" x14ac:dyDescent="0.2">
      <c r="A20" s="8" t="s">
        <v>643</v>
      </c>
      <c r="B20" s="9" t="s">
        <v>913</v>
      </c>
      <c r="C20" s="7">
        <v>12</v>
      </c>
      <c r="D20" s="5">
        <v>2</v>
      </c>
      <c r="E20" s="5">
        <v>2</v>
      </c>
      <c r="F20" s="5">
        <v>1</v>
      </c>
      <c r="G20" s="5"/>
      <c r="H20" s="5"/>
      <c r="I20" s="5"/>
    </row>
    <row r="21" spans="1:9" ht="21" customHeight="1" x14ac:dyDescent="0.2">
      <c r="A21" s="8" t="s">
        <v>644</v>
      </c>
      <c r="B21" s="8" t="s">
        <v>914</v>
      </c>
      <c r="C21" s="7">
        <v>16</v>
      </c>
      <c r="D21" s="5">
        <v>4</v>
      </c>
      <c r="E21" s="5">
        <v>2</v>
      </c>
      <c r="F21" s="5">
        <v>1</v>
      </c>
      <c r="G21" s="5"/>
      <c r="H21" s="5"/>
      <c r="I21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B62"/>
  <sheetViews>
    <sheetView topLeftCell="A30" workbookViewId="0">
      <selection activeCell="D36" sqref="D36"/>
    </sheetView>
  </sheetViews>
  <sheetFormatPr baseColWidth="10" defaultRowHeight="16" x14ac:dyDescent="0.2"/>
  <cols>
    <col min="2" max="2" width="114.5" bestFit="1" customWidth="1"/>
  </cols>
  <sheetData>
    <row r="4" spans="2:2" x14ac:dyDescent="0.2">
      <c r="B4" t="s">
        <v>915</v>
      </c>
    </row>
    <row r="5" spans="2:2" x14ac:dyDescent="0.2">
      <c r="B5" t="s">
        <v>916</v>
      </c>
    </row>
    <row r="6" spans="2:2" x14ac:dyDescent="0.2">
      <c r="B6" t="s">
        <v>917</v>
      </c>
    </row>
    <row r="7" spans="2:2" x14ac:dyDescent="0.2">
      <c r="B7" t="s">
        <v>918</v>
      </c>
    </row>
    <row r="8" spans="2:2" x14ac:dyDescent="0.2">
      <c r="B8" t="s">
        <v>919</v>
      </c>
    </row>
    <row r="9" spans="2:2" x14ac:dyDescent="0.2">
      <c r="B9" t="s">
        <v>920</v>
      </c>
    </row>
    <row r="10" spans="2:2" x14ac:dyDescent="0.2">
      <c r="B10" t="s">
        <v>921</v>
      </c>
    </row>
    <row r="11" spans="2:2" x14ac:dyDescent="0.2">
      <c r="B11" t="s">
        <v>922</v>
      </c>
    </row>
    <row r="12" spans="2:2" x14ac:dyDescent="0.2">
      <c r="B12" t="s">
        <v>923</v>
      </c>
    </row>
    <row r="13" spans="2:2" x14ac:dyDescent="0.2">
      <c r="B13" t="s">
        <v>924</v>
      </c>
    </row>
    <row r="14" spans="2:2" x14ac:dyDescent="0.2">
      <c r="B14" t="s">
        <v>925</v>
      </c>
    </row>
    <row r="15" spans="2:2" x14ac:dyDescent="0.2">
      <c r="B15" t="s">
        <v>926</v>
      </c>
    </row>
    <row r="16" spans="2:2" x14ac:dyDescent="0.2">
      <c r="B16" t="s">
        <v>927</v>
      </c>
    </row>
    <row r="17" spans="2:2" x14ac:dyDescent="0.2">
      <c r="B17" t="s">
        <v>928</v>
      </c>
    </row>
    <row r="18" spans="2:2" x14ac:dyDescent="0.2">
      <c r="B18" t="s">
        <v>929</v>
      </c>
    </row>
    <row r="19" spans="2:2" x14ac:dyDescent="0.2">
      <c r="B19" t="s">
        <v>930</v>
      </c>
    </row>
    <row r="20" spans="2:2" x14ac:dyDescent="0.2">
      <c r="B20" t="s">
        <v>931</v>
      </c>
    </row>
    <row r="21" spans="2:2" x14ac:dyDescent="0.2">
      <c r="B21" t="s">
        <v>932</v>
      </c>
    </row>
    <row r="22" spans="2:2" x14ac:dyDescent="0.2">
      <c r="B22" t="s">
        <v>933</v>
      </c>
    </row>
    <row r="23" spans="2:2" x14ac:dyDescent="0.2">
      <c r="B23" t="s">
        <v>934</v>
      </c>
    </row>
    <row r="24" spans="2:2" x14ac:dyDescent="0.2">
      <c r="B24" t="s">
        <v>935</v>
      </c>
    </row>
    <row r="25" spans="2:2" x14ac:dyDescent="0.2">
      <c r="B25" t="s">
        <v>936</v>
      </c>
    </row>
    <row r="26" spans="2:2" x14ac:dyDescent="0.2">
      <c r="B26" t="s">
        <v>937</v>
      </c>
    </row>
    <row r="27" spans="2:2" x14ac:dyDescent="0.2">
      <c r="B27" t="s">
        <v>938</v>
      </c>
    </row>
    <row r="28" spans="2:2" x14ac:dyDescent="0.2">
      <c r="B28" t="s">
        <v>939</v>
      </c>
    </row>
    <row r="29" spans="2:2" x14ac:dyDescent="0.2">
      <c r="B29" t="s">
        <v>940</v>
      </c>
    </row>
    <row r="30" spans="2:2" x14ac:dyDescent="0.2">
      <c r="B30" t="s">
        <v>941</v>
      </c>
    </row>
    <row r="31" spans="2:2" x14ac:dyDescent="0.2">
      <c r="B31" t="s">
        <v>942</v>
      </c>
    </row>
    <row r="32" spans="2:2" x14ac:dyDescent="0.2">
      <c r="B32" t="s">
        <v>943</v>
      </c>
    </row>
    <row r="33" spans="2:2" x14ac:dyDescent="0.2">
      <c r="B33" t="s">
        <v>944</v>
      </c>
    </row>
    <row r="34" spans="2:2" x14ac:dyDescent="0.2">
      <c r="B34" t="s">
        <v>945</v>
      </c>
    </row>
    <row r="35" spans="2:2" x14ac:dyDescent="0.2">
      <c r="B35" t="s">
        <v>946</v>
      </c>
    </row>
    <row r="36" spans="2:2" x14ac:dyDescent="0.2">
      <c r="B36" t="s">
        <v>947</v>
      </c>
    </row>
    <row r="37" spans="2:2" x14ac:dyDescent="0.2">
      <c r="B37" t="s">
        <v>948</v>
      </c>
    </row>
    <row r="38" spans="2:2" x14ac:dyDescent="0.2">
      <c r="B38" t="s">
        <v>949</v>
      </c>
    </row>
    <row r="39" spans="2:2" x14ac:dyDescent="0.2">
      <c r="B39" t="s">
        <v>950</v>
      </c>
    </row>
    <row r="40" spans="2:2" x14ac:dyDescent="0.2">
      <c r="B40" t="s">
        <v>951</v>
      </c>
    </row>
    <row r="41" spans="2:2" x14ac:dyDescent="0.2">
      <c r="B41" t="s">
        <v>952</v>
      </c>
    </row>
    <row r="42" spans="2:2" x14ac:dyDescent="0.2">
      <c r="B42" t="s">
        <v>953</v>
      </c>
    </row>
    <row r="43" spans="2:2" x14ac:dyDescent="0.2">
      <c r="B43" t="s">
        <v>954</v>
      </c>
    </row>
    <row r="44" spans="2:2" x14ac:dyDescent="0.2">
      <c r="B44" t="s">
        <v>955</v>
      </c>
    </row>
    <row r="45" spans="2:2" x14ac:dyDescent="0.2">
      <c r="B45" t="s">
        <v>956</v>
      </c>
    </row>
    <row r="46" spans="2:2" x14ac:dyDescent="0.2">
      <c r="B46" t="s">
        <v>957</v>
      </c>
    </row>
    <row r="47" spans="2:2" x14ac:dyDescent="0.2">
      <c r="B47" t="s">
        <v>958</v>
      </c>
    </row>
    <row r="48" spans="2:2" x14ac:dyDescent="0.2">
      <c r="B48" t="s">
        <v>959</v>
      </c>
    </row>
    <row r="49" spans="2:2" x14ac:dyDescent="0.2">
      <c r="B49" t="s">
        <v>960</v>
      </c>
    </row>
    <row r="50" spans="2:2" x14ac:dyDescent="0.2">
      <c r="B50" t="s">
        <v>961</v>
      </c>
    </row>
    <row r="51" spans="2:2" x14ac:dyDescent="0.2">
      <c r="B51" t="s">
        <v>962</v>
      </c>
    </row>
    <row r="52" spans="2:2" x14ac:dyDescent="0.2">
      <c r="B52" t="s">
        <v>963</v>
      </c>
    </row>
    <row r="53" spans="2:2" x14ac:dyDescent="0.2">
      <c r="B53" t="s">
        <v>964</v>
      </c>
    </row>
    <row r="54" spans="2:2" x14ac:dyDescent="0.2">
      <c r="B54" t="s">
        <v>965</v>
      </c>
    </row>
    <row r="55" spans="2:2" x14ac:dyDescent="0.2">
      <c r="B55" t="s">
        <v>966</v>
      </c>
    </row>
    <row r="56" spans="2:2" x14ac:dyDescent="0.2">
      <c r="B56" t="s">
        <v>967</v>
      </c>
    </row>
    <row r="57" spans="2:2" x14ac:dyDescent="0.2">
      <c r="B57" t="s">
        <v>968</v>
      </c>
    </row>
    <row r="58" spans="2:2" x14ac:dyDescent="0.2">
      <c r="B58" t="s">
        <v>969</v>
      </c>
    </row>
    <row r="59" spans="2:2" x14ac:dyDescent="0.2">
      <c r="B59" t="s">
        <v>970</v>
      </c>
    </row>
    <row r="60" spans="2:2" x14ac:dyDescent="0.2">
      <c r="B60" t="s">
        <v>971</v>
      </c>
    </row>
    <row r="61" spans="2:2" x14ac:dyDescent="0.2">
      <c r="B61" t="s">
        <v>972</v>
      </c>
    </row>
    <row r="62" spans="2:2" x14ac:dyDescent="0.2">
      <c r="B62" t="s">
        <v>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I76"/>
  <sheetViews>
    <sheetView tabSelected="1" topLeftCell="A38" zoomScale="150" workbookViewId="0">
      <selection activeCell="J59" sqref="J59"/>
    </sheetView>
  </sheetViews>
  <sheetFormatPr baseColWidth="10" defaultColWidth="8.83203125" defaultRowHeight="16" x14ac:dyDescent="0.2"/>
  <sheetData>
    <row r="3" spans="1:35" x14ac:dyDescent="0.2">
      <c r="B3" s="35">
        <v>0.375</v>
      </c>
      <c r="C3" s="35">
        <v>0.38541666666666669</v>
      </c>
      <c r="D3" s="35">
        <v>0.39583333333333331</v>
      </c>
      <c r="E3" s="35">
        <v>0.40625</v>
      </c>
      <c r="F3" s="35">
        <v>0.41666666666666702</v>
      </c>
      <c r="G3" s="35">
        <v>0.42708333333333298</v>
      </c>
      <c r="H3" s="35">
        <v>0.4375</v>
      </c>
      <c r="I3" s="35">
        <v>0.44791666666666702</v>
      </c>
      <c r="J3" s="35">
        <v>0.45833333333333298</v>
      </c>
      <c r="K3" s="35">
        <v>0.46875</v>
      </c>
      <c r="L3" s="35">
        <v>0.47916666666666702</v>
      </c>
      <c r="M3" s="35">
        <v>0.48958333333333398</v>
      </c>
      <c r="N3" s="35">
        <v>0.5</v>
      </c>
      <c r="O3" s="35">
        <v>0.51041666666666696</v>
      </c>
      <c r="P3" s="35">
        <v>0.52083333333333404</v>
      </c>
      <c r="Q3" s="35">
        <v>0.53125</v>
      </c>
      <c r="R3" s="35">
        <v>0.54166666666666696</v>
      </c>
      <c r="S3" s="35">
        <v>0.55208333333333404</v>
      </c>
      <c r="T3" s="35">
        <v>0.5625</v>
      </c>
      <c r="U3" s="35">
        <v>0.57291666666666696</v>
      </c>
      <c r="V3" s="35">
        <v>0.58333333333333404</v>
      </c>
      <c r="W3" s="35">
        <v>0.59375</v>
      </c>
      <c r="X3" s="35">
        <v>0.60416666666666696</v>
      </c>
      <c r="Y3" s="35">
        <v>0.61458333333333404</v>
      </c>
      <c r="Z3" s="35">
        <v>0.625</v>
      </c>
      <c r="AA3" s="35">
        <v>0.63541666666666696</v>
      </c>
      <c r="AB3" s="35">
        <v>0.64583333333333404</v>
      </c>
      <c r="AC3" s="35">
        <v>0.65625</v>
      </c>
      <c r="AD3" s="35">
        <v>0.66666666666666696</v>
      </c>
      <c r="AE3" s="35">
        <v>0.67708333333333404</v>
      </c>
      <c r="AF3" s="35">
        <v>0.687500000000001</v>
      </c>
      <c r="AG3" s="35">
        <v>0.69791666666666696</v>
      </c>
      <c r="AH3" s="35">
        <v>0.70833333333333404</v>
      </c>
    </row>
    <row r="4" spans="1:35" x14ac:dyDescent="0.2">
      <c r="A4">
        <v>1</v>
      </c>
      <c r="B4" s="15" t="s">
        <v>974</v>
      </c>
      <c r="D4" s="16" t="s">
        <v>975</v>
      </c>
      <c r="E4" s="17" t="s">
        <v>976</v>
      </c>
      <c r="F4" s="15" t="s">
        <v>977</v>
      </c>
      <c r="G4" s="18" t="s">
        <v>978</v>
      </c>
      <c r="H4" s="19" t="s">
        <v>979</v>
      </c>
      <c r="I4" s="20" t="s">
        <v>980</v>
      </c>
      <c r="J4" s="21" t="s">
        <v>981</v>
      </c>
      <c r="K4" s="19" t="s">
        <v>982</v>
      </c>
      <c r="N4" s="15" t="s">
        <v>983</v>
      </c>
      <c r="Q4" s="15" t="s">
        <v>984</v>
      </c>
      <c r="R4" s="22" t="s">
        <v>985</v>
      </c>
      <c r="T4" s="20" t="s">
        <v>986</v>
      </c>
      <c r="U4" s="22" t="s">
        <v>987</v>
      </c>
      <c r="W4" s="21" t="s">
        <v>981</v>
      </c>
      <c r="X4" s="22" t="s">
        <v>988</v>
      </c>
      <c r="Y4" s="23" t="s">
        <v>989</v>
      </c>
      <c r="Z4" s="21" t="s">
        <v>990</v>
      </c>
      <c r="AA4" s="22" t="s">
        <v>991</v>
      </c>
      <c r="AB4" s="23" t="s">
        <v>992</v>
      </c>
      <c r="AC4" s="21" t="s">
        <v>993</v>
      </c>
      <c r="AD4" s="24" t="s">
        <v>994</v>
      </c>
      <c r="AE4" s="25" t="s">
        <v>995</v>
      </c>
      <c r="AF4" s="21" t="s">
        <v>996</v>
      </c>
      <c r="AG4" s="18" t="s">
        <v>997</v>
      </c>
      <c r="AH4" s="25" t="s">
        <v>998</v>
      </c>
    </row>
    <row r="5" spans="1:35" x14ac:dyDescent="0.2">
      <c r="A5">
        <v>2</v>
      </c>
      <c r="B5" s="15" t="s">
        <v>974</v>
      </c>
      <c r="D5" s="18" t="s">
        <v>1017</v>
      </c>
      <c r="E5" s="17" t="s">
        <v>976</v>
      </c>
      <c r="F5" s="15" t="s">
        <v>977</v>
      </c>
      <c r="G5" s="18" t="s">
        <v>978</v>
      </c>
      <c r="H5" s="19" t="s">
        <v>979</v>
      </c>
      <c r="I5" s="20" t="s">
        <v>980</v>
      </c>
      <c r="J5" s="20" t="s">
        <v>980</v>
      </c>
      <c r="K5" s="19" t="s">
        <v>982</v>
      </c>
      <c r="N5" s="15" t="s">
        <v>983</v>
      </c>
      <c r="Q5" s="31" t="s">
        <v>1018</v>
      </c>
      <c r="R5" s="22" t="s">
        <v>985</v>
      </c>
      <c r="T5" s="20" t="s">
        <v>986</v>
      </c>
      <c r="U5" s="22" t="s">
        <v>987</v>
      </c>
      <c r="W5" s="21" t="s">
        <v>981</v>
      </c>
      <c r="X5" s="22" t="s">
        <v>988</v>
      </c>
      <c r="Y5" s="23" t="s">
        <v>989</v>
      </c>
      <c r="Z5" s="21" t="s">
        <v>990</v>
      </c>
      <c r="AB5" s="23" t="s">
        <v>992</v>
      </c>
      <c r="AC5" s="21" t="s">
        <v>993</v>
      </c>
      <c r="AD5" s="24" t="s">
        <v>994</v>
      </c>
      <c r="AE5" s="25" t="s">
        <v>995</v>
      </c>
      <c r="AF5" s="24" t="s">
        <v>994</v>
      </c>
      <c r="AH5" s="25" t="s">
        <v>998</v>
      </c>
    </row>
    <row r="6" spans="1:35" x14ac:dyDescent="0.2">
      <c r="A6">
        <v>3</v>
      </c>
      <c r="B6" s="31" t="s">
        <v>1022</v>
      </c>
      <c r="D6" s="18" t="s">
        <v>1017</v>
      </c>
      <c r="E6" s="16" t="s">
        <v>975</v>
      </c>
      <c r="F6" s="15" t="s">
        <v>977</v>
      </c>
      <c r="G6" s="18" t="s">
        <v>978</v>
      </c>
      <c r="H6" s="19" t="s">
        <v>979</v>
      </c>
      <c r="I6" s="20" t="s">
        <v>980</v>
      </c>
      <c r="J6" s="18" t="s">
        <v>1023</v>
      </c>
      <c r="K6" s="19" t="s">
        <v>982</v>
      </c>
      <c r="N6" s="31" t="s">
        <v>1024</v>
      </c>
      <c r="Q6" s="22" t="s">
        <v>985</v>
      </c>
      <c r="R6" s="22" t="s">
        <v>985</v>
      </c>
      <c r="T6" s="20" t="s">
        <v>986</v>
      </c>
      <c r="U6" s="22" t="s">
        <v>987</v>
      </c>
      <c r="W6" s="21" t="s">
        <v>981</v>
      </c>
      <c r="X6" s="23" t="s">
        <v>989</v>
      </c>
      <c r="Y6" s="23" t="s">
        <v>989</v>
      </c>
      <c r="Z6" s="21" t="s">
        <v>990</v>
      </c>
      <c r="AB6" s="23" t="s">
        <v>992</v>
      </c>
      <c r="AD6" s="24" t="s">
        <v>994</v>
      </c>
      <c r="AE6" s="25" t="s">
        <v>995</v>
      </c>
      <c r="AF6" s="24" t="s">
        <v>994</v>
      </c>
      <c r="AH6" s="25" t="s">
        <v>998</v>
      </c>
    </row>
    <row r="7" spans="1:35" x14ac:dyDescent="0.2">
      <c r="A7">
        <v>4</v>
      </c>
      <c r="B7" s="31" t="s">
        <v>1022</v>
      </c>
      <c r="E7" s="33" t="s">
        <v>1026</v>
      </c>
      <c r="F7" s="15" t="s">
        <v>977</v>
      </c>
      <c r="G7" s="18" t="s">
        <v>978</v>
      </c>
      <c r="H7" s="19" t="s">
        <v>979</v>
      </c>
      <c r="I7" s="20" t="s">
        <v>980</v>
      </c>
      <c r="J7" s="18" t="s">
        <v>1023</v>
      </c>
      <c r="K7" s="19" t="s">
        <v>982</v>
      </c>
      <c r="N7" s="31" t="s">
        <v>1024</v>
      </c>
      <c r="Q7" s="22" t="s">
        <v>985</v>
      </c>
      <c r="T7" s="20" t="s">
        <v>986</v>
      </c>
      <c r="U7" s="22" t="s">
        <v>987</v>
      </c>
      <c r="W7" s="21" t="s">
        <v>981</v>
      </c>
      <c r="X7" s="23" t="s">
        <v>989</v>
      </c>
      <c r="Y7" s="23" t="s">
        <v>989</v>
      </c>
      <c r="Z7" s="21" t="s">
        <v>990</v>
      </c>
      <c r="AB7" s="23" t="s">
        <v>992</v>
      </c>
      <c r="AD7" s="24" t="s">
        <v>994</v>
      </c>
      <c r="AE7" s="25" t="s">
        <v>995</v>
      </c>
      <c r="AF7" s="24" t="s">
        <v>994</v>
      </c>
      <c r="AH7" s="25" t="s">
        <v>998</v>
      </c>
    </row>
    <row r="8" spans="1:35" x14ac:dyDescent="0.2">
      <c r="A8">
        <v>5</v>
      </c>
      <c r="B8" s="31" t="s">
        <v>1022</v>
      </c>
      <c r="E8" s="33" t="s">
        <v>1026</v>
      </c>
      <c r="F8" s="31" t="s">
        <v>1022</v>
      </c>
      <c r="H8" s="16" t="s">
        <v>1031</v>
      </c>
      <c r="I8" s="20" t="s">
        <v>980</v>
      </c>
      <c r="K8" s="19" t="s">
        <v>982</v>
      </c>
      <c r="N8" s="17" t="s">
        <v>1032</v>
      </c>
      <c r="Q8" s="22" t="s">
        <v>985</v>
      </c>
      <c r="T8" s="34" t="s">
        <v>1033</v>
      </c>
      <c r="W8" s="20" t="s">
        <v>1034</v>
      </c>
      <c r="X8" s="23" t="s">
        <v>989</v>
      </c>
      <c r="Z8" s="20" t="s">
        <v>1035</v>
      </c>
      <c r="AB8" s="23" t="s">
        <v>992</v>
      </c>
      <c r="AD8" s="24" t="s">
        <v>994</v>
      </c>
      <c r="AF8" s="24" t="s">
        <v>994</v>
      </c>
      <c r="AH8" s="25" t="s">
        <v>998</v>
      </c>
    </row>
    <row r="9" spans="1:35" x14ac:dyDescent="0.2">
      <c r="A9">
        <v>6</v>
      </c>
      <c r="B9" s="17" t="s">
        <v>1039</v>
      </c>
      <c r="E9" s="33" t="s">
        <v>1026</v>
      </c>
      <c r="K9" s="19" t="s">
        <v>982</v>
      </c>
      <c r="N9" s="34" t="s">
        <v>1040</v>
      </c>
      <c r="Q9" s="22" t="s">
        <v>985</v>
      </c>
      <c r="W9" s="20" t="s">
        <v>1034</v>
      </c>
      <c r="AB9" s="23" t="s">
        <v>992</v>
      </c>
      <c r="AD9" s="24" t="s">
        <v>994</v>
      </c>
      <c r="AF9" s="24" t="s">
        <v>994</v>
      </c>
      <c r="AH9" s="25" t="s">
        <v>998</v>
      </c>
    </row>
    <row r="10" spans="1:35" x14ac:dyDescent="0.2">
      <c r="A10">
        <v>7</v>
      </c>
      <c r="B10" s="33" t="s">
        <v>1043</v>
      </c>
      <c r="E10" s="33" t="s">
        <v>1026</v>
      </c>
      <c r="K10" s="19" t="s">
        <v>982</v>
      </c>
      <c r="N10" s="34" t="s">
        <v>1040</v>
      </c>
      <c r="Q10" s="22" t="s">
        <v>985</v>
      </c>
      <c r="AB10" s="23" t="s">
        <v>992</v>
      </c>
      <c r="AD10" s="24" t="s">
        <v>994</v>
      </c>
      <c r="AF10" s="33" t="s">
        <v>1044</v>
      </c>
      <c r="AH10" s="25" t="s">
        <v>998</v>
      </c>
    </row>
    <row r="11" spans="1:35" x14ac:dyDescent="0.2">
      <c r="A11">
        <v>8</v>
      </c>
      <c r="B11" s="33" t="s">
        <v>1043</v>
      </c>
      <c r="K11" s="19" t="s">
        <v>982</v>
      </c>
      <c r="N11" s="34" t="s">
        <v>1040</v>
      </c>
      <c r="Q11" s="34" t="s">
        <v>1048</v>
      </c>
      <c r="AB11" s="23" t="s">
        <v>992</v>
      </c>
      <c r="AD11" s="24" t="s">
        <v>994</v>
      </c>
      <c r="AF11" s="33" t="s">
        <v>1044</v>
      </c>
      <c r="AH11" s="25" t="s">
        <v>998</v>
      </c>
    </row>
    <row r="12" spans="1:35" x14ac:dyDescent="0.2">
      <c r="A12">
        <v>9</v>
      </c>
      <c r="B12" s="33" t="s">
        <v>1043</v>
      </c>
      <c r="N12" s="34" t="s">
        <v>1040</v>
      </c>
      <c r="Q12" s="34" t="s">
        <v>1048</v>
      </c>
    </row>
    <row r="13" spans="1:35" x14ac:dyDescent="0.2">
      <c r="A13">
        <v>1</v>
      </c>
      <c r="B13" s="33" t="s">
        <v>1043</v>
      </c>
    </row>
    <row r="14" spans="1:35" x14ac:dyDescent="0.2">
      <c r="A14">
        <v>11</v>
      </c>
      <c r="B14" s="33" t="s">
        <v>1043</v>
      </c>
    </row>
    <row r="15" spans="1:35" x14ac:dyDescent="0.2">
      <c r="A15">
        <v>12</v>
      </c>
      <c r="B15" s="33" t="s">
        <v>1043</v>
      </c>
    </row>
    <row r="16" spans="1:35" x14ac:dyDescent="0.2">
      <c r="C16">
        <f>COUNTIF(B4:C15,"*")</f>
        <v>12</v>
      </c>
      <c r="E16">
        <f>COUNTIF(D4:E15,"*")</f>
        <v>10</v>
      </c>
      <c r="G16">
        <f>COUNTIF(F4:G15,"*")</f>
        <v>9</v>
      </c>
      <c r="I16">
        <f>COUNTIF(H4:I15,"*")</f>
        <v>10</v>
      </c>
      <c r="K16">
        <f>COUNTIF(J4:K15,"*")</f>
        <v>12</v>
      </c>
      <c r="M16">
        <f>COUNTIF(L4:M15,"*")</f>
        <v>0</v>
      </c>
      <c r="O16">
        <f>COUNTIF(N4:O15,"*")</f>
        <v>9</v>
      </c>
      <c r="Q16">
        <f>COUNTIF(P4:Q15,"*")</f>
        <v>9</v>
      </c>
      <c r="S16">
        <f>COUNTIF(R4:S15,"*")</f>
        <v>3</v>
      </c>
      <c r="U16">
        <f>COUNTIF(T4:U15,"*")</f>
        <v>9</v>
      </c>
      <c r="W16">
        <f>COUNTIF(V4:W15,"*")</f>
        <v>6</v>
      </c>
      <c r="Y16">
        <f>COUNTIF(X4:Y15,"*")</f>
        <v>9</v>
      </c>
      <c r="AA16">
        <f>COUNTIF(Z4:AA15,"*")</f>
        <v>6</v>
      </c>
      <c r="AC16">
        <f>COUNTIF(AB4:AC15,"*")</f>
        <v>10</v>
      </c>
      <c r="AE16">
        <f>COUNTIF(AD4:AE15,"*")</f>
        <v>12</v>
      </c>
      <c r="AG16">
        <f>COUNTIF(AF4:AG15,"*")</f>
        <v>9</v>
      </c>
      <c r="AI16">
        <f>COUNTIF(AH4:AI15,"*")</f>
        <v>8</v>
      </c>
    </row>
    <row r="19" spans="1:23" x14ac:dyDescent="0.2">
      <c r="B19" s="35">
        <v>0.375</v>
      </c>
      <c r="C19" s="35">
        <v>0.38541666666666669</v>
      </c>
      <c r="D19" s="35">
        <v>0.39583333333333331</v>
      </c>
      <c r="E19" s="35">
        <v>0.40625</v>
      </c>
      <c r="F19" s="35">
        <v>0.41666666666666702</v>
      </c>
      <c r="G19" s="35">
        <v>0.42708333333333298</v>
      </c>
      <c r="H19" s="35">
        <v>0.4375</v>
      </c>
      <c r="I19" s="35">
        <v>0.44791666666666702</v>
      </c>
      <c r="J19" s="35">
        <v>0.45833333333333298</v>
      </c>
      <c r="K19" s="35">
        <v>0.46875</v>
      </c>
      <c r="L19" s="35">
        <v>0.47916666666666702</v>
      </c>
      <c r="M19" s="35">
        <v>0.48958333333333398</v>
      </c>
      <c r="N19" s="35">
        <v>0.5</v>
      </c>
      <c r="O19" s="35">
        <v>0.51041666666666696</v>
      </c>
      <c r="P19" s="35">
        <v>0.52083333333333404</v>
      </c>
      <c r="Q19" s="35">
        <v>0.53125</v>
      </c>
      <c r="R19" s="35">
        <v>0.54166666666666696</v>
      </c>
      <c r="S19" s="35">
        <v>0.55208333333333404</v>
      </c>
      <c r="T19" s="35">
        <v>0.5625</v>
      </c>
      <c r="U19" s="35">
        <v>0.57291666666666696</v>
      </c>
      <c r="V19" s="35">
        <v>0.58333333333333404</v>
      </c>
    </row>
    <row r="20" spans="1:23" x14ac:dyDescent="0.2">
      <c r="A20">
        <v>1</v>
      </c>
      <c r="B20" s="24" t="s">
        <v>999</v>
      </c>
      <c r="C20" s="26" t="s">
        <v>1000</v>
      </c>
      <c r="D20" s="27" t="s">
        <v>1001</v>
      </c>
      <c r="E20" s="25" t="s">
        <v>1002</v>
      </c>
      <c r="F20" s="24" t="s">
        <v>1003</v>
      </c>
      <c r="G20" s="27" t="s">
        <v>1004</v>
      </c>
      <c r="H20" s="25" t="s">
        <v>1005</v>
      </c>
      <c r="I20" s="28" t="s">
        <v>1006</v>
      </c>
      <c r="J20" s="29" t="s">
        <v>1007</v>
      </c>
      <c r="K20" s="30" t="s">
        <v>1008</v>
      </c>
      <c r="L20" s="28" t="s">
        <v>1006</v>
      </c>
      <c r="M20" s="29" t="s">
        <v>1009</v>
      </c>
      <c r="N20" s="30" t="s">
        <v>1010</v>
      </c>
      <c r="O20" s="28" t="s">
        <v>1011</v>
      </c>
      <c r="P20" s="29" t="s">
        <v>1012</v>
      </c>
      <c r="R20" s="28" t="s">
        <v>1013</v>
      </c>
      <c r="S20" s="29" t="s">
        <v>1014</v>
      </c>
      <c r="U20" s="19" t="s">
        <v>1015</v>
      </c>
      <c r="V20" s="28" t="s">
        <v>1016</v>
      </c>
    </row>
    <row r="21" spans="1:23" x14ac:dyDescent="0.2">
      <c r="A21">
        <v>2</v>
      </c>
      <c r="B21" s="24" t="s">
        <v>999</v>
      </c>
      <c r="C21" s="26" t="s">
        <v>1000</v>
      </c>
      <c r="D21" s="27" t="s">
        <v>1001</v>
      </c>
      <c r="E21" s="25" t="s">
        <v>1002</v>
      </c>
      <c r="F21" s="24" t="s">
        <v>1003</v>
      </c>
      <c r="G21" s="27" t="s">
        <v>1004</v>
      </c>
      <c r="H21" s="25" t="s">
        <v>1005</v>
      </c>
      <c r="I21" s="26" t="s">
        <v>1019</v>
      </c>
      <c r="K21" s="30" t="s">
        <v>1008</v>
      </c>
      <c r="L21" s="28" t="s">
        <v>1006</v>
      </c>
      <c r="M21" s="29" t="s">
        <v>1009</v>
      </c>
      <c r="O21" s="28" t="s">
        <v>1011</v>
      </c>
      <c r="P21" s="29" t="s">
        <v>1012</v>
      </c>
      <c r="R21" s="28" t="s">
        <v>1013</v>
      </c>
      <c r="U21" s="32" t="s">
        <v>1020</v>
      </c>
      <c r="V21" s="27" t="s">
        <v>1021</v>
      </c>
    </row>
    <row r="22" spans="1:23" x14ac:dyDescent="0.2">
      <c r="A22">
        <v>3</v>
      </c>
      <c r="B22" s="24" t="s">
        <v>999</v>
      </c>
      <c r="C22" s="26" t="s">
        <v>1000</v>
      </c>
      <c r="D22" s="27" t="s">
        <v>1001</v>
      </c>
      <c r="E22" s="25" t="s">
        <v>1002</v>
      </c>
      <c r="F22" s="24" t="s">
        <v>1003</v>
      </c>
      <c r="I22" s="26" t="s">
        <v>1019</v>
      </c>
      <c r="K22" s="30" t="s">
        <v>1008</v>
      </c>
      <c r="L22" s="28" t="s">
        <v>1006</v>
      </c>
      <c r="M22" s="29" t="s">
        <v>1009</v>
      </c>
      <c r="O22" s="28" t="s">
        <v>1011</v>
      </c>
      <c r="R22" s="26" t="s">
        <v>1025</v>
      </c>
    </row>
    <row r="23" spans="1:23" x14ac:dyDescent="0.2">
      <c r="A23">
        <v>4</v>
      </c>
      <c r="B23" s="33" t="s">
        <v>1027</v>
      </c>
      <c r="C23" s="24" t="s">
        <v>999</v>
      </c>
      <c r="E23" s="25" t="s">
        <v>1002</v>
      </c>
      <c r="F23" s="24" t="s">
        <v>1003</v>
      </c>
      <c r="I23" s="26" t="s">
        <v>1019</v>
      </c>
      <c r="K23" s="25" t="s">
        <v>1028</v>
      </c>
      <c r="L23" s="26" t="s">
        <v>1029</v>
      </c>
      <c r="M23" s="29" t="s">
        <v>1009</v>
      </c>
      <c r="O23" s="28" t="s">
        <v>1011</v>
      </c>
      <c r="R23" s="30" t="s">
        <v>1030</v>
      </c>
    </row>
    <row r="24" spans="1:23" x14ac:dyDescent="0.2">
      <c r="A24">
        <v>5</v>
      </c>
      <c r="C24" s="24" t="s">
        <v>999</v>
      </c>
      <c r="F24" s="23" t="s">
        <v>1036</v>
      </c>
      <c r="I24" s="26" t="s">
        <v>1019</v>
      </c>
      <c r="L24" s="24" t="s">
        <v>1037</v>
      </c>
      <c r="O24" s="26" t="s">
        <v>1029</v>
      </c>
      <c r="R24" s="19" t="s">
        <v>1038</v>
      </c>
    </row>
    <row r="25" spans="1:23" x14ac:dyDescent="0.2">
      <c r="A25">
        <v>6</v>
      </c>
      <c r="C25" s="24" t="s">
        <v>999</v>
      </c>
      <c r="F25" s="23" t="s">
        <v>1036</v>
      </c>
      <c r="I25" s="24" t="s">
        <v>1041</v>
      </c>
      <c r="L25" s="23" t="s">
        <v>1042</v>
      </c>
      <c r="O25" s="30" t="s">
        <v>1010</v>
      </c>
      <c r="R25" s="19" t="s">
        <v>1038</v>
      </c>
    </row>
    <row r="26" spans="1:23" x14ac:dyDescent="0.2">
      <c r="A26">
        <v>7</v>
      </c>
      <c r="C26" s="24" t="s">
        <v>999</v>
      </c>
      <c r="F26" s="23" t="s">
        <v>1036</v>
      </c>
      <c r="I26" s="24" t="s">
        <v>1041</v>
      </c>
      <c r="L26" s="32" t="s">
        <v>1045</v>
      </c>
      <c r="O26" s="19" t="s">
        <v>1046</v>
      </c>
      <c r="R26" s="32" t="s">
        <v>1047</v>
      </c>
    </row>
    <row r="27" spans="1:23" x14ac:dyDescent="0.2">
      <c r="A27">
        <v>8</v>
      </c>
      <c r="C27" s="24" t="s">
        <v>999</v>
      </c>
      <c r="F27" s="23" t="s">
        <v>1036</v>
      </c>
      <c r="I27" s="23" t="s">
        <v>1049</v>
      </c>
      <c r="L27" s="32" t="s">
        <v>1045</v>
      </c>
      <c r="O27" s="19" t="s">
        <v>1046</v>
      </c>
      <c r="R27" s="32" t="s">
        <v>1047</v>
      </c>
    </row>
    <row r="28" spans="1:23" x14ac:dyDescent="0.2">
      <c r="A28">
        <v>9</v>
      </c>
      <c r="I28" s="23" t="s">
        <v>1049</v>
      </c>
      <c r="O28" s="19" t="s">
        <v>1046</v>
      </c>
    </row>
    <row r="29" spans="1:23" x14ac:dyDescent="0.2">
      <c r="A29">
        <v>1</v>
      </c>
      <c r="O29" s="19" t="s">
        <v>1046</v>
      </c>
    </row>
    <row r="30" spans="1:23" x14ac:dyDescent="0.2">
      <c r="A30">
        <v>11</v>
      </c>
    </row>
    <row r="31" spans="1:23" x14ac:dyDescent="0.2">
      <c r="A31">
        <v>12</v>
      </c>
    </row>
    <row r="32" spans="1:23" x14ac:dyDescent="0.2">
      <c r="C32">
        <f>COUNTIF(B20:C31,"*")</f>
        <v>12</v>
      </c>
      <c r="E32">
        <f>COUNTIF(D20:E31,"*")</f>
        <v>7</v>
      </c>
      <c r="G32">
        <f>COUNTIF(F20:G31,"*")</f>
        <v>10</v>
      </c>
      <c r="I32">
        <f>COUNTIF(H20:I31,"*")</f>
        <v>11</v>
      </c>
      <c r="K32">
        <f>COUNTIF(J20:K31,"*")</f>
        <v>5</v>
      </c>
      <c r="M32">
        <f>COUNTIF(L20:M31,"*")</f>
        <v>12</v>
      </c>
      <c r="O32">
        <f>COUNTIF(N20:O31,"*")</f>
        <v>11</v>
      </c>
      <c r="Q32">
        <f>COUNTIF(P20:Q31,"*")</f>
        <v>2</v>
      </c>
      <c r="S32">
        <f>COUNTIF(R20:S31,"*")</f>
        <v>9</v>
      </c>
      <c r="U32">
        <f>COUNTIF(T20:U31,"*")</f>
        <v>2</v>
      </c>
      <c r="W32">
        <f>COUNTIF(V20:W31,"*")</f>
        <v>2</v>
      </c>
    </row>
    <row r="45" spans="3:15" x14ac:dyDescent="0.2">
      <c r="C45">
        <v>402</v>
      </c>
      <c r="D45">
        <f>C45/C46</f>
        <v>9.3488372093023262</v>
      </c>
      <c r="F45">
        <v>227</v>
      </c>
      <c r="H45">
        <f>F45/F46</f>
        <v>8.1071428571428577</v>
      </c>
      <c r="N45">
        <v>347</v>
      </c>
      <c r="O45">
        <f>N45/N46</f>
        <v>8.2619047619047628</v>
      </c>
    </row>
    <row r="46" spans="3:15" x14ac:dyDescent="0.2">
      <c r="C46">
        <v>43</v>
      </c>
      <c r="F46">
        <v>28</v>
      </c>
      <c r="N46">
        <f>84/2</f>
        <v>42</v>
      </c>
    </row>
    <row r="48" spans="3:15" x14ac:dyDescent="0.2">
      <c r="C48">
        <f>C46/C45</f>
        <v>0.10696517412935323</v>
      </c>
      <c r="F48">
        <f>F46/F45</f>
        <v>0.12334801762114538</v>
      </c>
      <c r="N48">
        <f>N46/N45</f>
        <v>0.12103746397694524</v>
      </c>
    </row>
    <row r="51" spans="3:3" x14ac:dyDescent="0.2">
      <c r="C51">
        <f>F48-C48</f>
        <v>1.6382843491792143E-2</v>
      </c>
    </row>
    <row r="68" spans="3:3" x14ac:dyDescent="0.2">
      <c r="C68" t="s">
        <v>1050</v>
      </c>
    </row>
    <row r="69" spans="3:3" x14ac:dyDescent="0.2">
      <c r="C69" t="s">
        <v>1051</v>
      </c>
    </row>
    <row r="74" spans="3:3" x14ac:dyDescent="0.2">
      <c r="C74" t="s">
        <v>1052</v>
      </c>
    </row>
    <row r="76" spans="3:3" x14ac:dyDescent="0.2">
      <c r="C76" t="s">
        <v>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Entries HBC Premier Elite 2024</vt:lpstr>
      <vt:lpstr>Sheet1</vt:lpstr>
      <vt:lpstr>Player Events</vt:lpstr>
      <vt:lpstr>Rule Violations</vt:lpstr>
      <vt:lpstr>Event Analysis</vt:lpstr>
      <vt:lpstr>Sheet2</vt:lpstr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Nyström</dc:creator>
  <cp:lastModifiedBy>Nyström Sofie</cp:lastModifiedBy>
  <dcterms:created xsi:type="dcterms:W3CDTF">2025-10-07T15:03:42Z</dcterms:created>
  <dcterms:modified xsi:type="dcterms:W3CDTF">2025-10-17T17:57:39Z</dcterms:modified>
</cp:coreProperties>
</file>